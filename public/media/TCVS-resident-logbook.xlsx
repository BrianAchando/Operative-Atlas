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Logbook" sheetId="2" state="visible" r:id="rId4"/>
    <sheet name="Summary" sheetId="3" state="visible" r:id="rId5"/>
    <sheet name="Li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<sst xmlns="http://schemas.openxmlformats.org/spreadsheetml/2006/main" count="429" uniqueCount="258">
  <si>
    <t xml:space="preserve">TCVS Resident Operative Logbook</t>
  </si>
  <si>
    <t xml:space="preserve">Purpose</t>
  </si>
  <si>
    <t xml:space="preserve">One row per operation you take part in. Name your supervising consultant; no sign-off is needed. Your consultant reviews your progress monthly.</t>
  </si>
  <si>
    <t xml:space="preserve">Fill in</t>
  </si>
  <si>
    <t xml:space="preserve">Pale-yellow cells on the Logbook sheet. Choose from the drop-down lists where offered. Row 2 is a worked example: keep it or delete it.</t>
  </si>
  <si>
    <t xml:space="preserve">Privacy</t>
  </si>
  <si>
    <t xml:space="preserve">Record NO patient names, hospital numbers or dates of birth. Use your own case code (e.g. 2026-041) that only you can trace in the theatre register.</t>
  </si>
  <si>
    <t xml:space="preserve">Summary</t>
  </si>
  <si>
    <t xml:space="preserve">The Summary sheet counts your cases by area and level of involvement automatically (consolidated logbook).</t>
  </si>
  <si>
    <t xml:space="preserve">Online</t>
  </si>
  <si>
    <t xml:space="preserve">The same fields are in COVA (operative-atlas.pages.dev): sign in as a resident, open Logbook. Cases are recorded as you enter them, with the progress analysis built in.</t>
  </si>
  <si>
    <t xml:space="preserve">Codes</t>
  </si>
  <si>
    <t xml:space="preserve">Level of involvement uses the intercollegiate eLogbook (ISCP) supervision codes, below.</t>
  </si>
  <si>
    <t xml:space="preserve">Code</t>
  </si>
  <si>
    <t xml:space="preserve">Meaning</t>
  </si>
  <si>
    <t xml:space="preserve">Definition (ISCP logbook supervision codes)</t>
  </si>
  <si>
    <t xml:space="preserve">O</t>
  </si>
  <si>
    <t xml:space="preserve">Observed</t>
  </si>
  <si>
    <t xml:space="preserve">Procedure observed by an unscrubbed trainee, present for at least 70% of the operation.</t>
  </si>
  <si>
    <t xml:space="preserve">A2</t>
  </si>
  <si>
    <t xml:space="preserve">Second assistant</t>
  </si>
  <si>
    <t xml:space="preserve">Scrubbed as second assistant: retraction, suction, exposure; the trainee performs no key component.</t>
  </si>
  <si>
    <t xml:space="preserve">A</t>
  </si>
  <si>
    <t xml:space="preserve">Assisted</t>
  </si>
  <si>
    <t xml:space="preserve">The trainer performs the key components; the trainee may perform the approach and/or the closure.</t>
  </si>
  <si>
    <t xml:space="preserve">S-TS</t>
  </si>
  <si>
    <t xml:space="preserve">Supervised, trainer scrubbed</t>
  </si>
  <si>
    <t xml:space="preserve">The trainee performs the key components with the trainer scrubbed (even if the trainer is "only assisting").</t>
  </si>
  <si>
    <t xml:space="preserve">S-TU</t>
  </si>
  <si>
    <t xml:space="preserve">Supervised, trainer unscrubbed</t>
  </si>
  <si>
    <t xml:space="preserve">The trainee performs the key components with the trainer unscrubbed but in theatre for at least 70% of the operation.</t>
  </si>
  <si>
    <t xml:space="preserve">P</t>
  </si>
  <si>
    <t xml:space="preserve">Performed</t>
  </si>
  <si>
    <t xml:space="preserve">The trainee completes the key components; the trainer is unscrubbed throughout and present for less than 70%.</t>
  </si>
  <si>
    <t xml:space="preserve">T</t>
  </si>
  <si>
    <t xml:space="preserve">Training</t>
  </si>
  <si>
    <t xml:space="preserve">The trainee trains a more junior trainee through the key components.</t>
  </si>
  <si>
    <t xml:space="preserve">Source</t>
  </si>
  <si>
    <t xml:space="preserve">ISCP. Logbook supervision code guide. https://www.iscp.ac.uk/media/1447/logbook-supervision-code-guide-for-website.pdf</t>
  </si>
  <si>
    <t xml:space="preserve">Note</t>
  </si>
  <si>
    <t xml:space="preserve">Template proposed for the KNH/UoN TCVS programme, modelled on the intercollegiate eLogbook. Indicative numbers per procedure are set by the programme: add them in the Target column of the Summary sheet.</t>
  </si>
  <si>
    <t xml:space="preserve">No.</t>
  </si>
  <si>
    <t xml:space="preserve">Date</t>
  </si>
  <si>
    <t xml:space="preserve">Hospital</t>
  </si>
  <si>
    <t xml:space="preserve">Case code</t>
  </si>
  <si>
    <t xml:space="preserve">Age</t>
  </si>
  <si>
    <t xml:space="preserve">Age unit</t>
  </si>
  <si>
    <t xml:space="preserve">Sex</t>
  </si>
  <si>
    <t xml:space="preserve">Urgency</t>
  </si>
  <si>
    <t xml:space="preserve">Area</t>
  </si>
  <si>
    <t xml:space="preserve">Diagnosis / indication</t>
  </si>
  <si>
    <t xml:space="preserve">Procedure</t>
  </si>
  <si>
    <t xml:space="preserve">Approach</t>
  </si>
  <si>
    <t xml:space="preserve">Level</t>
  </si>
  <si>
    <t xml:space="preserve">Supervising consultant</t>
  </si>
  <si>
    <t xml:space="preserve">CPB (min)</t>
  </si>
  <si>
    <t xml:space="preserve">Cross-clamp (min)</t>
  </si>
  <si>
    <t xml:space="preserve">Circ. arrest (min)</t>
  </si>
  <si>
    <t xml:space="preserve">Blood loss (ml)</t>
  </si>
  <si>
    <t xml:space="preserve">Complication</t>
  </si>
  <si>
    <t xml:space="preserve">Clavien-Dindo</t>
  </si>
  <si>
    <t xml:space="preserve">Back to theatre</t>
  </si>
  <si>
    <t xml:space="preserve">30-day outcome</t>
  </si>
  <si>
    <t xml:space="preserve">Stay (days)</t>
  </si>
  <si>
    <t xml:space="preserve">Reflection / learning point</t>
  </si>
  <si>
    <t xml:space="preserve">2026-10-08</t>
  </si>
  <si>
    <t xml:space="preserve">Kenyatta National Hospital</t>
  </si>
  <si>
    <t xml:space="preserve">2026-041</t>
  </si>
  <si>
    <t xml:space="preserve">years</t>
  </si>
  <si>
    <t xml:space="preserve">F</t>
  </si>
  <si>
    <t xml:space="preserve">Elective</t>
  </si>
  <si>
    <t xml:space="preserve">Adult cardiac</t>
  </si>
  <si>
    <t xml:space="preserve">Severe rheumatic mitral stenosis, AF, Wilkins 10</t>
  </si>
  <si>
    <t xml:space="preserve">Mitral valve replacement · Rheumatic MS, AF, LA thrombus (sternotomy)</t>
  </si>
  <si>
    <t xml:space="preserve">Median sternotomy</t>
  </si>
  <si>
    <t xml:space="preserve">Dr A. Consultant</t>
  </si>
  <si>
    <t xml:space="preserve">None</t>
  </si>
  <si>
    <t xml:space="preserve">No</t>
  </si>
  <si>
    <t xml:space="preserve">Alive</t>
  </si>
  <si>
    <t xml:space="preserve">Chordal-sparing technique: kept the posterior leaflet</t>
  </si>
  <si>
    <t xml:space="preserve">Consolidated logbook summary</t>
  </si>
  <si>
    <t xml:space="preserve">Counts update from the Logbook sheet (the worked example in row 2 is counted until you delete it).</t>
  </si>
  <si>
    <t xml:space="preserve">By area</t>
  </si>
  <si>
    <t xml:space="preserve">Total</t>
  </si>
  <si>
    <t xml:space="preserve">Target</t>
  </si>
  <si>
    <t xml:space="preserve">Congenital cardiac</t>
  </si>
  <si>
    <t xml:space="preserve">General thoracic</t>
  </si>
  <si>
    <t xml:space="preserve">Esophageal</t>
  </si>
  <si>
    <t xml:space="preserve">Airway</t>
  </si>
  <si>
    <t xml:space="preserve">Vascular (open)</t>
  </si>
  <si>
    <t xml:space="preserve">Endovascular</t>
  </si>
  <si>
    <t xml:space="preserve">Trauma</t>
  </si>
  <si>
    <t xml:space="preserve">Access / other</t>
  </si>
  <si>
    <t xml:space="preserve">All areas</t>
  </si>
  <si>
    <t xml:space="preserve">By procedure</t>
  </si>
  <si>
    <t xml:space="preserve">Aortic root replacement · Bentall (composite valved graft)</t>
  </si>
  <si>
    <t xml:space="preserve">Aortic root replacement · Ross (pulmonary autograft)</t>
  </si>
  <si>
    <t xml:space="preserve">Aortic root replacement · Valve-sparing reimplantation (David)</t>
  </si>
  <si>
    <t xml:space="preserve">Aortic valve replacement · Bicuspid AS at 64 (right anterior mini-thoracotomy)</t>
  </si>
  <si>
    <t xml:space="preserve">Aortic valve replacement · Double valve: MS with mixed aortic disease</t>
  </si>
  <si>
    <t xml:space="preserve">Aortic valve replacement · Endocarditis with root abscess</t>
  </si>
  <si>
    <t xml:space="preserve">Aortic valve replacement · Older patient, calcific AS, TAVI unsuitable (hemisternotomy)</t>
  </si>
  <si>
    <t xml:space="preserve">Aortic valve replacement · Young man with rheumatic AR (sternotomy)</t>
  </si>
  <si>
    <t xml:space="preserve">Coronary artery bypass grafting · Single-vessel: LAD by MIDCAB (off-pump)</t>
  </si>
  <si>
    <t xml:space="preserve">Coronary artery bypass grafting · Three-vessel, off-pump (OPCAB)</t>
  </si>
  <si>
    <t xml:space="preserve">Coronary artery bypass grafting · Three-vessel, on-pump</t>
  </si>
  <si>
    <t xml:space="preserve">Coronary artery bypass grafting · Two-vessel: LAD + OM (LIMA + radial)</t>
  </si>
  <si>
    <t xml:space="preserve">Mitral valve replacement · Endocarditis on a rheumatic valve</t>
  </si>
  <si>
    <t xml:space="preserve">Mitral valve replacement · MS with severe TR (transseptal + tricuspid)</t>
  </si>
  <si>
    <t xml:space="preserve">Mitral valve replacement · Restenosis after balloon (right mini-thoracotomy)</t>
  </si>
  <si>
    <t xml:space="preserve">Mitral valve replacement · Teenager with rheumatic MR: repair or replace</t>
  </si>
  <si>
    <t xml:space="preserve">Pericardiectomy · TB constrictive pericarditis (sternotomy)</t>
  </si>
  <si>
    <t xml:space="preserve">Tricuspid valve surgery · Replacement (sternotomy)</t>
  </si>
  <si>
    <t xml:space="preserve">Tricuspid valve surgery · Right mini-thoracotomy, beating heart</t>
  </si>
  <si>
    <t xml:space="preserve">Tricuspid valve surgery · Ring annuloplasty (sternotomy)</t>
  </si>
  <si>
    <t xml:space="preserve">Tracheal resection · Cervical (collar incision)</t>
  </si>
  <si>
    <t xml:space="preserve">Atrial septal defect closure · Secundum ASD: pericardial patch (sternotomy, bypass)</t>
  </si>
  <si>
    <t xml:space="preserve">Coarctation of the aorta repair · Coarctation: resection and extended end-to-end anastomosis (4th space)</t>
  </si>
  <si>
    <t xml:space="preserve">Palliative operations · Modified Blalock-Taussig shunt (sternotomy; KNH practice)</t>
  </si>
  <si>
    <t xml:space="preserve">Palliative operations · Pulmonary artery banding</t>
  </si>
  <si>
    <t xml:space="preserve">Patent ductus arteriosus ligation · PDA: left thoracotomy, 3rd space (infant, clip)</t>
  </si>
  <si>
    <t xml:space="preserve">Patent ductus arteriosus ligation · PDA: left thoracotomy, 4th space (standard, ligation)</t>
  </si>
  <si>
    <t xml:space="preserve">Tetralogy of Fallot repair · Complete repair: VSD patch, RVOT resection, ± transannular patch</t>
  </si>
  <si>
    <t xml:space="preserve">Ventricular septal defect closure · Perimembranous VSD: transatrial patch closure</t>
  </si>
  <si>
    <t xml:space="preserve">Esophagectomy · Anastomotic leak (ISDE 2026)</t>
  </si>
  <si>
    <t xml:space="preserve">Esophagectomy · Ivor Lewis</t>
  </si>
  <si>
    <t xml:space="preserve">Esophagectomy · McKeown (three-stage)</t>
  </si>
  <si>
    <t xml:space="preserve">Esophagectomy · Transhiatal</t>
  </si>
  <si>
    <t xml:space="preserve">Thoracic duct ligation · Right VATS, supradiaphragmatic</t>
  </si>
  <si>
    <t xml:space="preserve">Aspergilloma (post-TB cavity) · Right upper lobectomy, open (upper lobes most often)</t>
  </si>
  <si>
    <t xml:space="preserve">Bronchiectasis (post-TB) · Destroyed left upper lobe (open)</t>
  </si>
  <si>
    <t xml:space="preserve">Bullous lung disease · VATS bullectomy (giant bulla)</t>
  </si>
  <si>
    <t xml:space="preserve">Congenital lobar emphysema · Left upper lobectomy, open (the commonest site)</t>
  </si>
  <si>
    <t xml:space="preserve">Congenital pulmonary airway malformation (CPAM) · Left lower lobectomy, open (any lobe is possible)</t>
  </si>
  <si>
    <t xml:space="preserve">Empyema and decortication · Open decortication</t>
  </si>
  <si>
    <t xml:space="preserve">Empyema and decortication · VATS debridement</t>
  </si>
  <si>
    <t xml:space="preserve">Left lower lobectomy · Fissure first</t>
  </si>
  <si>
    <t xml:space="preserve">Left lower lobectomy · Hilum first (fissureless)</t>
  </si>
  <si>
    <t xml:space="preserve">Left lower lobectomy · Open thoracotomy</t>
  </si>
  <si>
    <t xml:space="preserve">Left lower lobectomy · Two-port VATS</t>
  </si>
  <si>
    <t xml:space="preserve">Left lower lobectomy · Uniportal VATS</t>
  </si>
  <si>
    <t xml:space="preserve">Left pneumonectomy · Open thoracotomy</t>
  </si>
  <si>
    <t xml:space="preserve">Left pneumonectomy · VATS (veins first)</t>
  </si>
  <si>
    <t xml:space="preserve">Left upper lobectomy · Anterior approach</t>
  </si>
  <si>
    <t xml:space="preserve">Left upper lobectomy · Open thoracotomy</t>
  </si>
  <si>
    <t xml:space="preserve">Left upper lobectomy · Posterior approach</t>
  </si>
  <si>
    <t xml:space="preserve">Left upper lobectomy · Two-port VATS</t>
  </si>
  <si>
    <t xml:space="preserve">Left upper lobectomy · Uniportal VATS</t>
  </si>
  <si>
    <t xml:space="preserve">Lingulectomy · VATS, fissure first</t>
  </si>
  <si>
    <t xml:space="preserve">Post-pneumonectomy empyema and BPF · Open window, then Clagett closure</t>
  </si>
  <si>
    <t xml:space="preserve">Post-pneumonectomy empyema and BPF · Stump closure with a muscle flap</t>
  </si>
  <si>
    <t xml:space="preserve">Right lower lobectomy · Fissure first</t>
  </si>
  <si>
    <t xml:space="preserve">Right lower lobectomy · Hilum first (fissureless)</t>
  </si>
  <si>
    <t xml:space="preserve">Right lower lobectomy · Open thoracotomy</t>
  </si>
  <si>
    <t xml:space="preserve">Right lower lobectomy · Two-port VATS</t>
  </si>
  <si>
    <t xml:space="preserve">Right lower lobectomy · Uniportal VATS</t>
  </si>
  <si>
    <t xml:space="preserve">Right middle lobectomy · Anterior approach</t>
  </si>
  <si>
    <t xml:space="preserve">Right middle lobectomy · Fissure first</t>
  </si>
  <si>
    <t xml:space="preserve">Right middle lobectomy · Open thoracotomy</t>
  </si>
  <si>
    <t xml:space="preserve">Right middle lobectomy · Two-port VATS</t>
  </si>
  <si>
    <t xml:space="preserve">Right middle lobectomy · Uniportal VATS</t>
  </si>
  <si>
    <t xml:space="preserve">Right pneumonectomy · Open thoracotomy</t>
  </si>
  <si>
    <t xml:space="preserve">Right pneumonectomy · VATS (veins first)</t>
  </si>
  <si>
    <t xml:space="preserve">Right upper lobectomy · Anterior approach</t>
  </si>
  <si>
    <t xml:space="preserve">Right upper lobectomy · Open thoracotomy</t>
  </si>
  <si>
    <t xml:space="preserve">Right upper lobectomy · Posterior approach</t>
  </si>
  <si>
    <t xml:space="preserve">Right upper lobectomy · Two-port VATS</t>
  </si>
  <si>
    <t xml:space="preserve">Right upper lobectomy · Uniportal VATS</t>
  </si>
  <si>
    <t xml:space="preserve">S6 segmentectomy · VATS, fissure first</t>
  </si>
  <si>
    <t xml:space="preserve">Thymectomy · Median sternotomy</t>
  </si>
  <si>
    <t xml:space="preserve">Thymectomy · Right VATS</t>
  </si>
  <si>
    <t xml:space="preserve">Thymectomy · Subxiphoid VATS</t>
  </si>
  <si>
    <t xml:space="preserve">Upper division segmentectomy · VATS, fissure first</t>
  </si>
  <si>
    <t xml:space="preserve">Cardiorrhaphy · Left anterolateral</t>
  </si>
  <si>
    <t xml:space="preserve">Clamshell thoracotomy · Bilateral anterolateral</t>
  </si>
  <si>
    <t xml:space="preserve">Hilar control · Hilar clamp</t>
  </si>
  <si>
    <t xml:space="preserve">Hilar control · Hilar twist</t>
  </si>
  <si>
    <t xml:space="preserve">Pulmonary tractotomy · Anterolateral thoracotomy</t>
  </si>
  <si>
    <t xml:space="preserve">Resuscitative thoracotomy · Left anterolateral (ED)</t>
  </si>
  <si>
    <t xml:space="preserve">Abdominal aortic aneurysm · Infrarenal, EVAR</t>
  </si>
  <si>
    <t xml:space="preserve">Abdominal aortic aneurysm · Infrarenal, open repair</t>
  </si>
  <si>
    <t xml:space="preserve">Abdominal aortic aneurysm · Juxtarenal, open (suprarenal clamp)</t>
  </si>
  <si>
    <t xml:space="preserve">Abdominal aortic aneurysm · Management and surveillance (ESVS 2024)</t>
  </si>
  <si>
    <t xml:space="preserve">Abdominal aortic aneurysm · Suprarenal (pararenal), left retroperitoneal</t>
  </si>
  <si>
    <t xml:space="preserve">Above-knee amputation · Transfemoral, fish-mouth flaps with myodesis</t>
  </si>
  <si>
    <t xml:space="preserve">Acute limb ischemia · Embolectomy and fasciotomy</t>
  </si>
  <si>
    <t xml:space="preserve">Acute limb ischemia · Rutherford IIa: embolectomy (sensation and movement preserved)</t>
  </si>
  <si>
    <t xml:space="preserve">Aorto-iliac occlusive disease · Aortobifemoral bypass</t>
  </si>
  <si>
    <t xml:space="preserve">Aorto-iliac occlusive disease · Axillobifemoral bypass (extra-anatomic)</t>
  </si>
  <si>
    <t xml:space="preserve">Aorto-iliac occlusive disease · Endovascular: kissing stents</t>
  </si>
  <si>
    <t xml:space="preserve">Arteriovenous fistula (dialysis access) · Brachiobasilic transposition</t>
  </si>
  <si>
    <t xml:space="preserve">Arteriovenous fistula (dialysis access) · Brachiocephalic (elbow)</t>
  </si>
  <si>
    <t xml:space="preserve">Arteriovenous fistula (dialysis access) · Radiocephalic (wrist)</t>
  </si>
  <si>
    <t xml:space="preserve">Below-knee amputation · Transtibial, long posterior flap</t>
  </si>
  <si>
    <t xml:space="preserve">Iliac artery aneurysm · Common iliac aneurysm: iliac branch device, coils or open repair</t>
  </si>
  <si>
    <t xml:space="preserve">Infrainguinal bypass and amputation · Amputation levels</t>
  </si>
  <si>
    <t xml:space="preserve">Infrainguinal bypass and amputation · Femoral to below-knee popliteal (reversed vein)</t>
  </si>
  <si>
    <t xml:space="preserve">Peripheral arterial disease · Best medical therapy (ACC/AHA and ESVS 2024)</t>
  </si>
  <si>
    <t xml:space="preserve">Thoracic aortic aneurysm · Ascending and hemiarch (circulatory arrest)</t>
  </si>
  <si>
    <t xml:space="preserve">Thoracic aortic aneurysm · Descending, TEVAR</t>
  </si>
  <si>
    <t xml:space="preserve">Thoracic aortic aneurysm · Descending, open (left heart bypass)</t>
  </si>
  <si>
    <t xml:space="preserve">Chest drain insertion</t>
  </si>
  <si>
    <t xml:space="preserve">Flexible bronchoscopy</t>
  </si>
  <si>
    <t xml:space="preserve">Rigid bronchoscopy</t>
  </si>
  <si>
    <t xml:space="preserve">Tracheostomy</t>
  </si>
  <si>
    <t xml:space="preserve">Esophagoscopy / dilatation</t>
  </si>
  <si>
    <t xml:space="preserve">Mediastinoscopy</t>
  </si>
  <si>
    <t xml:space="preserve">VATS pleural biopsy and pleurodesis</t>
  </si>
  <si>
    <t xml:space="preserve">Rib fixation</t>
  </si>
  <si>
    <t xml:space="preserve">Re-exploration for bleeding</t>
  </si>
  <si>
    <t xml:space="preserve">Sternal wound debridement / rewiring</t>
  </si>
  <si>
    <t xml:space="preserve">Pericardiocentesis</t>
  </si>
  <si>
    <t xml:space="preserve">Saphenous vein or radial artery harvest</t>
  </si>
  <si>
    <t xml:space="preserve">Femoral cannulation for CPB or ECMO</t>
  </si>
  <si>
    <t xml:space="preserve">IABP insertion</t>
  </si>
  <si>
    <t xml:space="preserve">Temporary pacing wire</t>
  </si>
  <si>
    <t xml:space="preserve">Central venous / arterial line</t>
  </si>
  <si>
    <t xml:space="preserve">Varicose vein surgery</t>
  </si>
  <si>
    <t xml:space="preserve">Diagnostic angiography</t>
  </si>
  <si>
    <t xml:space="preserve">Angioplasty / stent (peripheral)</t>
  </si>
  <si>
    <t xml:space="preserve">Levels</t>
  </si>
  <si>
    <t xml:space="preserve">Areas</t>
  </si>
  <si>
    <t xml:space="preserve">AgeUnit</t>
  </si>
  <si>
    <t xml:space="preserve">Clavien</t>
  </si>
  <si>
    <t xml:space="preserve">YesNo</t>
  </si>
  <si>
    <t xml:space="preserve">Outcome30</t>
  </si>
  <si>
    <t xml:space="preserve">Hospitals</t>
  </si>
  <si>
    <t xml:space="preserve">Procedures</t>
  </si>
  <si>
    <t xml:space="preserve">I</t>
  </si>
  <si>
    <t xml:space="preserve">Urgent</t>
  </si>
  <si>
    <t xml:space="preserve">M</t>
  </si>
  <si>
    <t xml:space="preserve">months</t>
  </si>
  <si>
    <t xml:space="preserve">Minor</t>
  </si>
  <si>
    <t xml:space="preserve">II</t>
  </si>
  <si>
    <t xml:space="preserve">Yes</t>
  </si>
  <si>
    <t xml:space="preserve">Died</t>
  </si>
  <si>
    <t xml:space="preserve">Moi Teaching and Referral Hospital</t>
  </si>
  <si>
    <t xml:space="preserve">Emergency</t>
  </si>
  <si>
    <t xml:space="preserve">days</t>
  </si>
  <si>
    <t xml:space="preserve">Major</t>
  </si>
  <si>
    <t xml:space="preserve">IIIa</t>
  </si>
  <si>
    <t xml:space="preserve">Unknown</t>
  </si>
  <si>
    <t xml:space="preserve">Aga Khan University Hospital, Nairobi</t>
  </si>
  <si>
    <t xml:space="preserve">Salvage</t>
  </si>
  <si>
    <t xml:space="preserve">IIIb</t>
  </si>
  <si>
    <t xml:space="preserve">The Nairobi Hospital</t>
  </si>
  <si>
    <t xml:space="preserve">IVa</t>
  </si>
  <si>
    <t xml:space="preserve">Kenyatta University Teaching, Referral and Research Hospital</t>
  </si>
  <si>
    <t xml:space="preserve">IVb</t>
  </si>
  <si>
    <t xml:space="preserve">Mater Misericordiae Hospital</t>
  </si>
  <si>
    <t xml:space="preserve">V</t>
  </si>
  <si>
    <t xml:space="preserve">MP Shah Hospital</t>
  </si>
  <si>
    <t xml:space="preserve">Tenwek Hospital</t>
  </si>
  <si>
    <t xml:space="preserve">Kijabe Hospital</t>
  </si>
  <si>
    <t xml:space="preserve">Coast General Teaching and Referral Hospital</t>
  </si>
  <si>
    <t xml:space="preserve">Jaramogi Oginga Odinga Teaching and Referral Hospital</t>
  </si>
  <si>
    <t xml:space="preserve">Other</t>
  </si>
  <si>
    <t xml:space="preserve">Other (write in Diagnosis/Notes)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</si>
</sst>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F4F2"/>
        <bgColor rgb="FFFFF9DB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9"/>
      <rgbColor rgb="FF808080"/>
      <rgbColor rgb="FF9999FF"/>
      <rgbColor rgb="FF993366"/>
      <rgbColor rgb="FFFFF9DB"/>
      <rgbColor rgb="FFE8F4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3" t="s">
        <v>2</v>
      </c>
      <c r="C3" s="3"/>
    </row>
    <row r="4" customFormat="false" ht="15" hidden="false" customHeight="true" outlineLevel="0" collapsed="false">
      <c r="A4" s="2" t="s">
        <v>3</v>
      </c>
      <c r="B4" s="3" t="s">
        <v>4</v>
      </c>
      <c r="C4" s="3"/>
    </row>
    <row r="5" customFormat="false" ht="15" hidden="false" customHeight="true" outlineLevel="0" collapsed="false">
      <c r="A5" s="2" t="s">
        <v>5</v>
      </c>
      <c r="B5" s="3" t="s">
        <v>6</v>
      </c>
      <c r="C5" s="3"/>
    </row>
    <row r="6" customFormat="false" ht="15" hidden="false" customHeight="true" outlineLevel="0" collapsed="false">
      <c r="A6" s="2" t="s">
        <v>7</v>
      </c>
      <c r="B6" s="3" t="s">
        <v>8</v>
      </c>
      <c r="C6" s="3"/>
    </row>
    <row r="7" customFormat="false" ht="23.85" hidden="false" customHeight="true" outlineLevel="0" collapsed="false">
      <c r="A7" s="2" t="s">
        <v>9</v>
      </c>
      <c r="B7" s="3" t="s">
        <v>10</v>
      </c>
      <c r="C7" s="3"/>
    </row>
    <row r="8" customFormat="false" ht="15" hidden="false" customHeight="true" outlineLevel="0" collapsed="false">
      <c r="A8" s="2" t="s">
        <v>11</v>
      </c>
      <c r="B8" s="3" t="s">
        <v>12</v>
      </c>
      <c r="C8" s="3"/>
    </row>
    <row r="10" customFormat="false" ht="15" hidden="false" customHeight="false" outlineLevel="0" collapsed="false">
      <c r="A10" s="4" t="s">
        <v>13</v>
      </c>
      <c r="B10" s="4" t="s">
        <v>14</v>
      </c>
      <c r="C10" s="4" t="s">
        <v>15</v>
      </c>
    </row>
    <row r="11" customFormat="false" ht="15" hidden="false" customHeight="false" outlineLevel="0" collapsed="false">
      <c r="A11" s="5" t="s">
        <v>16</v>
      </c>
      <c r="B11" s="6" t="s">
        <v>17</v>
      </c>
      <c r="C11" s="6" t="s">
        <v>18</v>
      </c>
    </row>
    <row r="12" customFormat="false" ht="15" hidden="false" customHeight="false" outlineLevel="0" collapsed="false">
      <c r="A12" s="5" t="s">
        <v>19</v>
      </c>
      <c r="B12" s="6" t="s">
        <v>20</v>
      </c>
      <c r="C12" s="6" t="s">
        <v>21</v>
      </c>
    </row>
    <row r="13" customFormat="false" ht="15" hidden="false" customHeight="false" outlineLevel="0" collapsed="false">
      <c r="A13" s="5" t="s">
        <v>22</v>
      </c>
      <c r="B13" s="6" t="s">
        <v>23</v>
      </c>
      <c r="C13" s="6" t="s">
        <v>24</v>
      </c>
    </row>
    <row r="14" customFormat="false" ht="15" hidden="false" customHeight="false" outlineLevel="0" collapsed="false">
      <c r="A14" s="5" t="s">
        <v>25</v>
      </c>
      <c r="B14" s="6" t="s">
        <v>26</v>
      </c>
      <c r="C14" s="6" t="s">
        <v>27</v>
      </c>
    </row>
    <row r="15" customFormat="false" ht="23.85" hidden="false" customHeight="false" outlineLevel="0" collapsed="false">
      <c r="A15" s="5" t="s">
        <v>28</v>
      </c>
      <c r="B15" s="6" t="s">
        <v>29</v>
      </c>
      <c r="C15" s="6" t="s">
        <v>30</v>
      </c>
    </row>
    <row r="16" customFormat="false" ht="23.85" hidden="false" customHeight="false" outlineLevel="0" collapsed="false">
      <c r="A16" s="5" t="s">
        <v>31</v>
      </c>
      <c r="B16" s="6" t="s">
        <v>32</v>
      </c>
      <c r="C16" s="6" t="s">
        <v>33</v>
      </c>
    </row>
    <row r="17" customFormat="false" ht="15" hidden="false" customHeight="false" outlineLevel="0" collapsed="false">
      <c r="A17" s="5" t="s">
        <v>34</v>
      </c>
      <c r="B17" s="6" t="s">
        <v>35</v>
      </c>
      <c r="C17" s="6" t="s">
        <v>36</v>
      </c>
    </row>
    <row r="19" customFormat="false" ht="15" hidden="false" customHeight="false" outlineLevel="0" collapsed="false">
      <c r="A19" s="2" t="s">
        <v>37</v>
      </c>
      <c r="B19" s="7" t="s">
        <v>38</v>
      </c>
    </row>
    <row r="20" customFormat="false" ht="68.65" hidden="false" customHeight="false" outlineLevel="0" collapsed="false">
      <c r="A20" s="2" t="s">
        <v>39</v>
      </c>
      <c r="B20" s="8" t="s">
        <v>40</v>
      </c>
    </row>
  </sheetData>
  <mergeCells count="6">
    <mergeCell ref="B3:C3"/>
    <mergeCell ref="B4:C4"/>
    <mergeCell ref="B5:C5"/>
    <mergeCell ref="B6:C6"/>
    <mergeCell ref="B7:C7"/>
    <mergeCell ref="B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5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32"/>
    <col collapsed="false" customWidth="true" hidden="false" outlineLevel="0" max="11" min="11" style="0" width="46"/>
    <col collapsed="false" customWidth="true" hidden="false" outlineLevel="0" max="12" min="12" style="0" width="20"/>
    <col collapsed="false" customWidth="true" hidden="false" outlineLevel="0" max="13" min="13" style="0" width="7"/>
    <col collapsed="false" customWidth="true" hidden="false" outlineLevel="0" max="14" min="14" style="0" width="22"/>
    <col collapsed="false" customWidth="true" hidden="false" outlineLevel="0" max="15" min="15" style="0" width="8"/>
    <col collapsed="false" customWidth="true" hidden="false" outlineLevel="0" max="18" min="16" style="0" width="9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2" min="22" style="0" width="10"/>
    <col collapsed="false" customWidth="true" hidden="false" outlineLevel="0" max="23" min="23" style="0" width="7"/>
    <col collapsed="false" customWidth="true" hidden="false" outlineLevel="0" max="24" min="24" style="0" width="36"/>
  </cols>
  <sheetData>
    <row r="1" customFormat="false" ht="42" hidden="false" customHeight="true" outlineLevel="0" collapsed="false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  <c r="T1" s="9" t="s">
        <v>60</v>
      </c>
      <c r="U1" s="9" t="s">
        <v>61</v>
      </c>
      <c r="V1" s="9" t="s">
        <v>62</v>
      </c>
      <c r="W1" s="9" t="s">
        <v>63</v>
      </c>
      <c r="X1" s="9" t="s">
        <v>64</v>
      </c>
    </row>
    <row r="2" customFormat="false" ht="15" hidden="false" customHeight="false" outlineLevel="0" collapsed="false">
      <c r="A2" s="10" t="n">
        <v>1</v>
      </c>
      <c r="B2" s="10" t="s">
        <v>65</v>
      </c>
      <c r="C2" s="10" t="s">
        <v>66</v>
      </c>
      <c r="D2" s="10" t="s">
        <v>67</v>
      </c>
      <c r="E2" s="10" t="n">
        <v>29</v>
      </c>
      <c r="F2" s="10" t="s">
        <v>68</v>
      </c>
      <c r="G2" s="10" t="s">
        <v>69</v>
      </c>
      <c r="H2" s="10" t="s">
        <v>70</v>
      </c>
      <c r="I2" s="10" t="s">
        <v>71</v>
      </c>
      <c r="J2" s="10" t="s">
        <v>72</v>
      </c>
      <c r="K2" s="10" t="s">
        <v>73</v>
      </c>
      <c r="L2" s="10" t="s">
        <v>74</v>
      </c>
      <c r="M2" s="10" t="s">
        <v>25</v>
      </c>
      <c r="N2" s="10" t="s">
        <v>75</v>
      </c>
      <c r="O2" s="10" t="n">
        <v>95</v>
      </c>
      <c r="P2" s="10" t="n">
        <v>70</v>
      </c>
      <c r="Q2" s="10"/>
      <c r="R2" s="10" t="n">
        <v>400</v>
      </c>
      <c r="S2" s="10" t="s">
        <v>76</v>
      </c>
      <c r="T2" s="10"/>
      <c r="U2" s="10" t="s">
        <v>77</v>
      </c>
      <c r="V2" s="10" t="s">
        <v>78</v>
      </c>
      <c r="W2" s="10" t="n">
        <v>7</v>
      </c>
      <c r="X2" s="10" t="s">
        <v>79</v>
      </c>
    </row>
    <row r="3" customFormat="false" ht="15" hidden="false" customHeight="false" outlineLevel="0" collapsed="false">
      <c r="A3" s="11" t="str">
        <f aca="false">IF(B3="","",ROW()-1)</f>
        <v/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customFormat="false" ht="15" hidden="false" customHeight="false" outlineLevel="0" collapsed="false">
      <c r="A4" s="11" t="str">
        <f aca="false">IF(B4="","",ROW()-1)</f>
        <v/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customFormat="false" ht="15" hidden="false" customHeight="false" outlineLevel="0" collapsed="false">
      <c r="A5" s="11" t="str">
        <f aca="false">IF(B5="","",ROW()-1)</f>
        <v/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customFormat="false" ht="15" hidden="false" customHeight="false" outlineLevel="0" collapsed="false">
      <c r="A6" s="11" t="str">
        <f aca="false">IF(B6="","",ROW()-1)</f>
        <v/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customFormat="false" ht="15" hidden="false" customHeight="false" outlineLevel="0" collapsed="false">
      <c r="A7" s="11" t="str">
        <f aca="false">IF(B7="","",ROW()-1)</f>
        <v/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customFormat="false" ht="15" hidden="false" customHeight="false" outlineLevel="0" collapsed="false">
      <c r="A8" s="11" t="str">
        <f aca="false">IF(B8="","",ROW()-1)</f>
        <v/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customFormat="false" ht="15" hidden="false" customHeight="false" outlineLevel="0" collapsed="false">
      <c r="A9" s="11" t="str">
        <f aca="false">IF(B9="","",ROW()-1)</f>
        <v/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customFormat="false" ht="15" hidden="false" customHeight="false" outlineLevel="0" collapsed="false">
      <c r="A10" s="11" t="str">
        <f aca="false">IF(B10="","",ROW()-1)</f>
        <v/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customFormat="false" ht="15" hidden="false" customHeight="false" outlineLevel="0" collapsed="false">
      <c r="A11" s="11" t="str">
        <f aca="false">IF(B11="","",ROW()-1)</f>
        <v/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customFormat="false" ht="15" hidden="false" customHeight="false" outlineLevel="0" collapsed="false">
      <c r="A12" s="11" t="str">
        <f aca="false">IF(B12="","",ROW()-1)</f>
        <v/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customFormat="false" ht="15" hidden="false" customHeight="false" outlineLevel="0" collapsed="false">
      <c r="A13" s="11" t="str">
        <f aca="false">IF(B13="","",ROW()-1)</f>
        <v/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customFormat="false" ht="15" hidden="false" customHeight="false" outlineLevel="0" collapsed="false">
      <c r="A14" s="11" t="str">
        <f aca="false">IF(B14="","",ROW()-1)</f>
        <v/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customFormat="false" ht="15" hidden="false" customHeight="false" outlineLevel="0" collapsed="false">
      <c r="A15" s="11" t="str">
        <f aca="false">IF(B15="","",ROW()-1)</f>
        <v/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customFormat="false" ht="15" hidden="false" customHeight="false" outlineLevel="0" collapsed="false">
      <c r="A16" s="11" t="str">
        <f aca="false">IF(B16="","",ROW()-1)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customFormat="false" ht="15" hidden="false" customHeight="false" outlineLevel="0" collapsed="false">
      <c r="A17" s="11" t="str">
        <f aca="false">IF(B17="","",ROW()-1)</f>
        <v/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customFormat="false" ht="15" hidden="false" customHeight="false" outlineLevel="0" collapsed="false">
      <c r="A18" s="11" t="str">
        <f aca="false">IF(B18="","",ROW()-1)</f>
        <v/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customFormat="false" ht="15" hidden="false" customHeight="false" outlineLevel="0" collapsed="false">
      <c r="A19" s="11" t="str">
        <f aca="false">IF(B19="","",ROW()-1)</f>
        <v/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customFormat="false" ht="15" hidden="false" customHeight="false" outlineLevel="0" collapsed="false">
      <c r="A20" s="11" t="str">
        <f aca="false">IF(B20="","",ROW()-1)</f>
        <v/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customFormat="false" ht="15" hidden="false" customHeight="false" outlineLevel="0" collapsed="false">
      <c r="A21" s="11" t="str">
        <f aca="false">IF(B21="","",ROW()-1)</f>
        <v/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customFormat="false" ht="15" hidden="false" customHeight="false" outlineLevel="0" collapsed="false">
      <c r="A22" s="11" t="str">
        <f aca="false">IF(B22="","",ROW()-1)</f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customFormat="false" ht="15" hidden="false" customHeight="false" outlineLevel="0" collapsed="false">
      <c r="A23" s="11" t="str">
        <f aca="false">IF(B23="","",ROW()-1)</f>
        <v/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customFormat="false" ht="15" hidden="false" customHeight="false" outlineLevel="0" collapsed="false">
      <c r="A24" s="11" t="str">
        <f aca="false">IF(B24="","",ROW()-1)</f>
        <v/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customFormat="false" ht="15" hidden="false" customHeight="false" outlineLevel="0" collapsed="false">
      <c r="A25" s="11" t="str">
        <f aca="false">IF(B25="","",ROW()-1)</f>
        <v/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customFormat="false" ht="15" hidden="false" customHeight="false" outlineLevel="0" collapsed="false">
      <c r="A26" s="11" t="str">
        <f aca="false">IF(B26="","",ROW()-1)</f>
        <v/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customFormat="false" ht="15" hidden="false" customHeight="false" outlineLevel="0" collapsed="false">
      <c r="A27" s="11" t="str">
        <f aca="false">IF(B27="","",ROW()-1)</f>
        <v/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customFormat="false" ht="15" hidden="false" customHeight="false" outlineLevel="0" collapsed="false">
      <c r="A28" s="11" t="str">
        <f aca="false">IF(B28="","",ROW()-1)</f>
        <v/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customFormat="false" ht="15" hidden="false" customHeight="false" outlineLevel="0" collapsed="false">
      <c r="A29" s="11" t="str">
        <f aca="false">IF(B29="","",ROW()-1)</f>
        <v/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customFormat="false" ht="15" hidden="false" customHeight="false" outlineLevel="0" collapsed="false">
      <c r="A30" s="11" t="str">
        <f aca="false">IF(B30="","",ROW()-1)</f>
        <v/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customFormat="false" ht="15" hidden="false" customHeight="false" outlineLevel="0" collapsed="false">
      <c r="A31" s="11" t="str">
        <f aca="false">IF(B31="","",ROW()-1)</f>
        <v/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customFormat="false" ht="15" hidden="false" customHeight="false" outlineLevel="0" collapsed="false">
      <c r="A32" s="11" t="str">
        <f aca="false">IF(B32="","",ROW()-1)</f>
        <v/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customFormat="false" ht="15" hidden="false" customHeight="false" outlineLevel="0" collapsed="false">
      <c r="A33" s="11" t="str">
        <f aca="false">IF(B33="","",ROW()-1)</f>
        <v/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customFormat="false" ht="15" hidden="false" customHeight="false" outlineLevel="0" collapsed="false">
      <c r="A34" s="11" t="str">
        <f aca="false">IF(B34="","",ROW()-1)</f>
        <v/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customFormat="false" ht="15" hidden="false" customHeight="false" outlineLevel="0" collapsed="false">
      <c r="A35" s="11" t="str">
        <f aca="false">IF(B35="","",ROW()-1)</f>
        <v/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customFormat="false" ht="15" hidden="false" customHeight="false" outlineLevel="0" collapsed="false">
      <c r="A36" s="11" t="str">
        <f aca="false">IF(B36="","",ROW()-1)</f>
        <v/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customFormat="false" ht="15" hidden="false" customHeight="false" outlineLevel="0" collapsed="false">
      <c r="A37" s="11" t="str">
        <f aca="false">IF(B37="","",ROW()-1)</f>
        <v/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customFormat="false" ht="15" hidden="false" customHeight="false" outlineLevel="0" collapsed="false">
      <c r="A38" s="11" t="str">
        <f aca="false">IF(B38="","",ROW()-1)</f>
        <v/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customFormat="false" ht="15" hidden="false" customHeight="false" outlineLevel="0" collapsed="false">
      <c r="A39" s="11" t="str">
        <f aca="false">IF(B39="","",ROW()-1)</f>
        <v/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customFormat="false" ht="15" hidden="false" customHeight="false" outlineLevel="0" collapsed="false">
      <c r="A40" s="11" t="str">
        <f aca="false">IF(B40="","",ROW()-1)</f>
        <v/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customFormat="false" ht="15" hidden="false" customHeight="false" outlineLevel="0" collapsed="false">
      <c r="A41" s="11" t="str">
        <f aca="false">IF(B41="","",ROW()-1)</f>
        <v/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customFormat="false" ht="15" hidden="false" customHeight="false" outlineLevel="0" collapsed="false">
      <c r="A42" s="11" t="str">
        <f aca="false">IF(B42="","",ROW()-1)</f>
        <v/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customFormat="false" ht="15" hidden="false" customHeight="false" outlineLevel="0" collapsed="false">
      <c r="A43" s="11" t="str">
        <f aca="false">IF(B43="","",ROW()-1)</f>
        <v/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customFormat="false" ht="15" hidden="false" customHeight="false" outlineLevel="0" collapsed="false">
      <c r="A44" s="11" t="str">
        <f aca="false">IF(B44="","",ROW()-1)</f>
        <v/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customFormat="false" ht="15" hidden="false" customHeight="false" outlineLevel="0" collapsed="false">
      <c r="A45" s="11" t="str">
        <f aca="false">IF(B45="","",ROW()-1)</f>
        <v/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customFormat="false" ht="15" hidden="false" customHeight="false" outlineLevel="0" collapsed="false">
      <c r="A46" s="11" t="str">
        <f aca="false">IF(B46="","",ROW()-1)</f>
        <v/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customFormat="false" ht="15" hidden="false" customHeight="false" outlineLevel="0" collapsed="false">
      <c r="A47" s="11" t="str">
        <f aca="false">IF(B47="","",ROW()-1)</f>
        <v/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customFormat="false" ht="15" hidden="false" customHeight="false" outlineLevel="0" collapsed="false">
      <c r="A48" s="11" t="str">
        <f aca="false">IF(B48="","",ROW()-1)</f>
        <v/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customFormat="false" ht="15" hidden="false" customHeight="false" outlineLevel="0" collapsed="false">
      <c r="A49" s="11" t="str">
        <f aca="false">IF(B49="","",ROW()-1)</f>
        <v/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customFormat="false" ht="15" hidden="false" customHeight="false" outlineLevel="0" collapsed="false">
      <c r="A50" s="11" t="str">
        <f aca="false">IF(B50="","",ROW()-1)</f>
        <v/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customFormat="false" ht="15" hidden="false" customHeight="false" outlineLevel="0" collapsed="false">
      <c r="A51" s="11" t="str">
        <f aca="false">IF(B51="","",ROW()-1)</f>
        <v/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customFormat="false" ht="15" hidden="false" customHeight="false" outlineLevel="0" collapsed="false">
      <c r="A52" s="11" t="str">
        <f aca="false">IF(B52="","",ROW()-1)</f>
        <v/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customFormat="false" ht="15" hidden="false" customHeight="false" outlineLevel="0" collapsed="false">
      <c r="A53" s="11" t="str">
        <f aca="false">IF(B53="","",ROW()-1)</f>
        <v/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customFormat="false" ht="15" hidden="false" customHeight="false" outlineLevel="0" collapsed="false">
      <c r="A54" s="11" t="str">
        <f aca="false">IF(B54="","",ROW()-1)</f>
        <v/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customFormat="false" ht="15" hidden="false" customHeight="false" outlineLevel="0" collapsed="false">
      <c r="A55" s="11" t="str">
        <f aca="false">IF(B55="","",ROW()-1)</f>
        <v/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customFormat="false" ht="15" hidden="false" customHeight="false" outlineLevel="0" collapsed="false">
      <c r="A56" s="11" t="str">
        <f aca="false">IF(B56="","",ROW()-1)</f>
        <v/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customFormat="false" ht="15" hidden="false" customHeight="false" outlineLevel="0" collapsed="false">
      <c r="A57" s="11" t="str">
        <f aca="false">IF(B57="","",ROW()-1)</f>
        <v/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customFormat="false" ht="15" hidden="false" customHeight="false" outlineLevel="0" collapsed="false">
      <c r="A58" s="11" t="str">
        <f aca="false">IF(B58="","",ROW()-1)</f>
        <v/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customFormat="false" ht="15" hidden="false" customHeight="false" outlineLevel="0" collapsed="false">
      <c r="A59" s="11" t="str">
        <f aca="false">IF(B59="","",ROW()-1)</f>
        <v/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customFormat="false" ht="15" hidden="false" customHeight="false" outlineLevel="0" collapsed="false">
      <c r="A60" s="11" t="str">
        <f aca="false">IF(B60="","",ROW()-1)</f>
        <v/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customFormat="false" ht="15" hidden="false" customHeight="false" outlineLevel="0" collapsed="false">
      <c r="A61" s="11" t="str">
        <f aca="false">IF(B61="","",ROW()-1)</f>
        <v/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customFormat="false" ht="15" hidden="false" customHeight="false" outlineLevel="0" collapsed="false">
      <c r="A62" s="11" t="str">
        <f aca="false">IF(B62="","",ROW()-1)</f>
        <v/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customFormat="false" ht="15" hidden="false" customHeight="false" outlineLevel="0" collapsed="false">
      <c r="A63" s="11" t="str">
        <f aca="false">IF(B63="","",ROW()-1)</f>
        <v/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customFormat="false" ht="15" hidden="false" customHeight="false" outlineLevel="0" collapsed="false">
      <c r="A64" s="11" t="str">
        <f aca="false">IF(B64="","",ROW()-1)</f>
        <v/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customFormat="false" ht="15" hidden="false" customHeight="false" outlineLevel="0" collapsed="false">
      <c r="A65" s="11" t="str">
        <f aca="false">IF(B65="","",ROW()-1)</f>
        <v/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customFormat="false" ht="15" hidden="false" customHeight="false" outlineLevel="0" collapsed="false">
      <c r="A66" s="11" t="str">
        <f aca="false">IF(B66="","",ROW()-1)</f>
        <v/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customFormat="false" ht="15" hidden="false" customHeight="false" outlineLevel="0" collapsed="false">
      <c r="A67" s="11" t="str">
        <f aca="false">IF(B67="","",ROW()-1)</f>
        <v/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customFormat="false" ht="15" hidden="false" customHeight="false" outlineLevel="0" collapsed="false">
      <c r="A68" s="11" t="str">
        <f aca="false">IF(B68="","",ROW()-1)</f>
        <v/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customFormat="false" ht="15" hidden="false" customHeight="false" outlineLevel="0" collapsed="false">
      <c r="A69" s="11" t="str">
        <f aca="false">IF(B69="","",ROW()-1)</f>
        <v/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customFormat="false" ht="15" hidden="false" customHeight="false" outlineLevel="0" collapsed="false">
      <c r="A70" s="11" t="str">
        <f aca="false">IF(B70="","",ROW()-1)</f>
        <v/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customFormat="false" ht="15" hidden="false" customHeight="false" outlineLevel="0" collapsed="false">
      <c r="A71" s="11" t="str">
        <f aca="false">IF(B71="","",ROW()-1)</f>
        <v/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customFormat="false" ht="15" hidden="false" customHeight="false" outlineLevel="0" collapsed="false">
      <c r="A72" s="11" t="str">
        <f aca="false">IF(B72="","",ROW()-1)</f>
        <v/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customFormat="false" ht="15" hidden="false" customHeight="false" outlineLevel="0" collapsed="false">
      <c r="A73" s="11" t="str">
        <f aca="false">IF(B73="","",ROW()-1)</f>
        <v/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customFormat="false" ht="15" hidden="false" customHeight="false" outlineLevel="0" collapsed="false">
      <c r="A74" s="11" t="str">
        <f aca="false">IF(B74="","",ROW()-1)</f>
        <v/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customFormat="false" ht="15" hidden="false" customHeight="false" outlineLevel="0" collapsed="false">
      <c r="A75" s="11" t="str">
        <f aca="false">IF(B75="","",ROW()-1)</f>
        <v/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customFormat="false" ht="15" hidden="false" customHeight="false" outlineLevel="0" collapsed="false">
      <c r="A76" s="11" t="str">
        <f aca="false">IF(B76="","",ROW()-1)</f>
        <v/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customFormat="false" ht="15" hidden="false" customHeight="false" outlineLevel="0" collapsed="false">
      <c r="A77" s="11" t="str">
        <f aca="false">IF(B77="","",ROW()-1)</f>
        <v/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customFormat="false" ht="15" hidden="false" customHeight="false" outlineLevel="0" collapsed="false">
      <c r="A78" s="11" t="str">
        <f aca="false">IF(B78="","",ROW()-1)</f>
        <v/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customFormat="false" ht="15" hidden="false" customHeight="false" outlineLevel="0" collapsed="false">
      <c r="A79" s="11" t="str">
        <f aca="false">IF(B79="","",ROW()-1)</f>
        <v/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customFormat="false" ht="15" hidden="false" customHeight="false" outlineLevel="0" collapsed="false">
      <c r="A80" s="11" t="str">
        <f aca="false">IF(B80="","",ROW()-1)</f>
        <v/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customFormat="false" ht="15" hidden="false" customHeight="false" outlineLevel="0" collapsed="false">
      <c r="A81" s="11" t="str">
        <f aca="false">IF(B81="","",ROW()-1)</f>
        <v/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customFormat="false" ht="15" hidden="false" customHeight="false" outlineLevel="0" collapsed="false">
      <c r="A82" s="11" t="str">
        <f aca="false">IF(B82="","",ROW()-1)</f>
        <v/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customFormat="false" ht="15" hidden="false" customHeight="false" outlineLevel="0" collapsed="false">
      <c r="A83" s="11" t="str">
        <f aca="false">IF(B83="","",ROW()-1)</f>
        <v/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customFormat="false" ht="15" hidden="false" customHeight="false" outlineLevel="0" collapsed="false">
      <c r="A84" s="11" t="str">
        <f aca="false">IF(B84="","",ROW()-1)</f>
        <v/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customFormat="false" ht="15" hidden="false" customHeight="false" outlineLevel="0" collapsed="false">
      <c r="A85" s="11" t="str">
        <f aca="false">IF(B85="","",ROW()-1)</f>
        <v/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customFormat="false" ht="15" hidden="false" customHeight="false" outlineLevel="0" collapsed="false">
      <c r="A86" s="11" t="str">
        <f aca="false">IF(B86="","",ROW()-1)</f>
        <v/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customFormat="false" ht="15" hidden="false" customHeight="false" outlineLevel="0" collapsed="false">
      <c r="A87" s="11" t="str">
        <f aca="false">IF(B87="","",ROW()-1)</f>
        <v/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customFormat="false" ht="15" hidden="false" customHeight="false" outlineLevel="0" collapsed="false">
      <c r="A88" s="11" t="str">
        <f aca="false">IF(B88="","",ROW()-1)</f>
        <v/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customFormat="false" ht="15" hidden="false" customHeight="false" outlineLevel="0" collapsed="false">
      <c r="A89" s="11" t="str">
        <f aca="false">IF(B89="","",ROW()-1)</f>
        <v/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customFormat="false" ht="15" hidden="false" customHeight="false" outlineLevel="0" collapsed="false">
      <c r="A90" s="11" t="str">
        <f aca="false">IF(B90="","",ROW()-1)</f>
        <v/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customFormat="false" ht="15" hidden="false" customHeight="false" outlineLevel="0" collapsed="false">
      <c r="A91" s="11" t="str">
        <f aca="false">IF(B91="","",ROW()-1)</f>
        <v/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customFormat="false" ht="15" hidden="false" customHeight="false" outlineLevel="0" collapsed="false">
      <c r="A92" s="11" t="str">
        <f aca="false">IF(B92="","",ROW()-1)</f>
        <v/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customFormat="false" ht="15" hidden="false" customHeight="false" outlineLevel="0" collapsed="false">
      <c r="A93" s="11" t="str">
        <f aca="false">IF(B93="","",ROW()-1)</f>
        <v/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customFormat="false" ht="15" hidden="false" customHeight="false" outlineLevel="0" collapsed="false">
      <c r="A94" s="11" t="str">
        <f aca="false">IF(B94="","",ROW()-1)</f>
        <v/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customFormat="false" ht="15" hidden="false" customHeight="false" outlineLevel="0" collapsed="false">
      <c r="A95" s="11" t="str">
        <f aca="false">IF(B95="","",ROW()-1)</f>
        <v/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customFormat="false" ht="15" hidden="false" customHeight="false" outlineLevel="0" collapsed="false">
      <c r="A96" s="11" t="str">
        <f aca="false">IF(B96="","",ROW()-1)</f>
        <v/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customFormat="false" ht="15" hidden="false" customHeight="false" outlineLevel="0" collapsed="false">
      <c r="A97" s="11" t="str">
        <f aca="false">IF(B97="","",ROW()-1)</f>
        <v/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customFormat="false" ht="15" hidden="false" customHeight="false" outlineLevel="0" collapsed="false">
      <c r="A98" s="11" t="str">
        <f aca="false">IF(B98="","",ROW()-1)</f>
        <v/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customFormat="false" ht="15" hidden="false" customHeight="false" outlineLevel="0" collapsed="false">
      <c r="A99" s="11" t="str">
        <f aca="false">IF(B99="","",ROW()-1)</f>
        <v/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customFormat="false" ht="15" hidden="false" customHeight="false" outlineLevel="0" collapsed="false">
      <c r="A100" s="11" t="str">
        <f aca="false">IF(B100="","",ROW()-1)</f>
        <v/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customFormat="false" ht="15" hidden="false" customHeight="false" outlineLevel="0" collapsed="false">
      <c r="A101" s="11" t="str">
        <f aca="false">IF(B101="","",ROW()-1)</f>
        <v/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customFormat="false" ht="15" hidden="false" customHeight="false" outlineLevel="0" collapsed="false">
      <c r="A102" s="11" t="str">
        <f aca="false">IF(B102="","",ROW()-1)</f>
        <v/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customFormat="false" ht="15" hidden="false" customHeight="false" outlineLevel="0" collapsed="false">
      <c r="A103" s="11" t="str">
        <f aca="false">IF(B103="","",ROW()-1)</f>
        <v/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customFormat="false" ht="15" hidden="false" customHeight="false" outlineLevel="0" collapsed="false">
      <c r="A104" s="11" t="str">
        <f aca="false">IF(B104="","",ROW()-1)</f>
        <v/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customFormat="false" ht="15" hidden="false" customHeight="false" outlineLevel="0" collapsed="false">
      <c r="A105" s="11" t="str">
        <f aca="false">IF(B105="","",ROW()-1)</f>
        <v/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customFormat="false" ht="15" hidden="false" customHeight="false" outlineLevel="0" collapsed="false">
      <c r="A106" s="11" t="str">
        <f aca="false">IF(B106="","",ROW()-1)</f>
        <v/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customFormat="false" ht="15" hidden="false" customHeight="false" outlineLevel="0" collapsed="false">
      <c r="A107" s="11" t="str">
        <f aca="false">IF(B107="","",ROW()-1)</f>
        <v/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customFormat="false" ht="15" hidden="false" customHeight="false" outlineLevel="0" collapsed="false">
      <c r="A108" s="11" t="str">
        <f aca="false">IF(B108="","",ROW()-1)</f>
        <v/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customFormat="false" ht="15" hidden="false" customHeight="false" outlineLevel="0" collapsed="false">
      <c r="A109" s="11" t="str">
        <f aca="false">IF(B109="","",ROW()-1)</f>
        <v/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customFormat="false" ht="15" hidden="false" customHeight="false" outlineLevel="0" collapsed="false">
      <c r="A110" s="11" t="str">
        <f aca="false">IF(B110="","",ROW()-1)</f>
        <v/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customFormat="false" ht="15" hidden="false" customHeight="false" outlineLevel="0" collapsed="false">
      <c r="A111" s="11" t="str">
        <f aca="false">IF(B111="","",ROW()-1)</f>
        <v/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customFormat="false" ht="15" hidden="false" customHeight="false" outlineLevel="0" collapsed="false">
      <c r="A112" s="11" t="str">
        <f aca="false">IF(B112="","",ROW()-1)</f>
        <v/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customFormat="false" ht="15" hidden="false" customHeight="false" outlineLevel="0" collapsed="false">
      <c r="A113" s="11" t="str">
        <f aca="false">IF(B113="","",ROW()-1)</f>
        <v/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customFormat="false" ht="15" hidden="false" customHeight="false" outlineLevel="0" collapsed="false">
      <c r="A114" s="11" t="str">
        <f aca="false">IF(B114="","",ROW()-1)</f>
        <v/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customFormat="false" ht="15" hidden="false" customHeight="false" outlineLevel="0" collapsed="false">
      <c r="A115" s="11" t="str">
        <f aca="false">IF(B115="","",ROW()-1)</f>
        <v/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customFormat="false" ht="15" hidden="false" customHeight="false" outlineLevel="0" collapsed="false">
      <c r="A116" s="11" t="str">
        <f aca="false">IF(B116="","",ROW()-1)</f>
        <v/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customFormat="false" ht="15" hidden="false" customHeight="false" outlineLevel="0" collapsed="false">
      <c r="A117" s="11" t="str">
        <f aca="false">IF(B117="","",ROW()-1)</f>
        <v/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customFormat="false" ht="15" hidden="false" customHeight="false" outlineLevel="0" collapsed="false">
      <c r="A118" s="11" t="str">
        <f aca="false">IF(B118="","",ROW()-1)</f>
        <v/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customFormat="false" ht="15" hidden="false" customHeight="false" outlineLevel="0" collapsed="false">
      <c r="A119" s="11" t="str">
        <f aca="false">IF(B119="","",ROW()-1)</f>
        <v/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customFormat="false" ht="15" hidden="false" customHeight="false" outlineLevel="0" collapsed="false">
      <c r="A120" s="11" t="str">
        <f aca="false">IF(B120="","",ROW()-1)</f>
        <v/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customFormat="false" ht="15" hidden="false" customHeight="false" outlineLevel="0" collapsed="false">
      <c r="A121" s="11" t="str">
        <f aca="false">IF(B121="","",ROW()-1)</f>
        <v/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customFormat="false" ht="15" hidden="false" customHeight="false" outlineLevel="0" collapsed="false">
      <c r="A122" s="11" t="str">
        <f aca="false">IF(B122="","",ROW()-1)</f>
        <v/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customFormat="false" ht="15" hidden="false" customHeight="false" outlineLevel="0" collapsed="false">
      <c r="A123" s="11" t="str">
        <f aca="false">IF(B123="","",ROW()-1)</f>
        <v/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customFormat="false" ht="15" hidden="false" customHeight="false" outlineLevel="0" collapsed="false">
      <c r="A124" s="11" t="str">
        <f aca="false">IF(B124="","",ROW()-1)</f>
        <v/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customFormat="false" ht="15" hidden="false" customHeight="false" outlineLevel="0" collapsed="false">
      <c r="A125" s="11" t="str">
        <f aca="false">IF(B125="","",ROW()-1)</f>
        <v/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customFormat="false" ht="15" hidden="false" customHeight="false" outlineLevel="0" collapsed="false">
      <c r="A126" s="11" t="str">
        <f aca="false">IF(B126="","",ROW()-1)</f>
        <v/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customFormat="false" ht="15" hidden="false" customHeight="false" outlineLevel="0" collapsed="false">
      <c r="A127" s="11" t="str">
        <f aca="false">IF(B127="","",ROW()-1)</f>
        <v/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customFormat="false" ht="15" hidden="false" customHeight="false" outlineLevel="0" collapsed="false">
      <c r="A128" s="11" t="str">
        <f aca="false">IF(B128="","",ROW()-1)</f>
        <v/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customFormat="false" ht="15" hidden="false" customHeight="false" outlineLevel="0" collapsed="false">
      <c r="A129" s="11" t="str">
        <f aca="false">IF(B129="","",ROW()-1)</f>
        <v/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customFormat="false" ht="15" hidden="false" customHeight="false" outlineLevel="0" collapsed="false">
      <c r="A130" s="11" t="str">
        <f aca="false">IF(B130="","",ROW()-1)</f>
        <v/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customFormat="false" ht="15" hidden="false" customHeight="false" outlineLevel="0" collapsed="false">
      <c r="A131" s="11" t="str">
        <f aca="false">IF(B131="","",ROW()-1)</f>
        <v/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customFormat="false" ht="15" hidden="false" customHeight="false" outlineLevel="0" collapsed="false">
      <c r="A132" s="11" t="str">
        <f aca="false">IF(B132="","",ROW()-1)</f>
        <v/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customFormat="false" ht="15" hidden="false" customHeight="false" outlineLevel="0" collapsed="false">
      <c r="A133" s="11" t="str">
        <f aca="false">IF(B133="","",ROW()-1)</f>
        <v/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customFormat="false" ht="15" hidden="false" customHeight="false" outlineLevel="0" collapsed="false">
      <c r="A134" s="11" t="str">
        <f aca="false">IF(B134="","",ROW()-1)</f>
        <v/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customFormat="false" ht="15" hidden="false" customHeight="false" outlineLevel="0" collapsed="false">
      <c r="A135" s="11" t="str">
        <f aca="false">IF(B135="","",ROW()-1)</f>
        <v/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customFormat="false" ht="15" hidden="false" customHeight="false" outlineLevel="0" collapsed="false">
      <c r="A136" s="11" t="str">
        <f aca="false">IF(B136="","",ROW()-1)</f>
        <v/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customFormat="false" ht="15" hidden="false" customHeight="false" outlineLevel="0" collapsed="false">
      <c r="A137" s="11" t="str">
        <f aca="false">IF(B137="","",ROW()-1)</f>
        <v/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customFormat="false" ht="15" hidden="false" customHeight="false" outlineLevel="0" collapsed="false">
      <c r="A138" s="11" t="str">
        <f aca="false">IF(B138="","",ROW()-1)</f>
        <v/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customFormat="false" ht="15" hidden="false" customHeight="false" outlineLevel="0" collapsed="false">
      <c r="A139" s="11" t="str">
        <f aca="false">IF(B139="","",ROW()-1)</f>
        <v/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customFormat="false" ht="15" hidden="false" customHeight="false" outlineLevel="0" collapsed="false">
      <c r="A140" s="11" t="str">
        <f aca="false">IF(B140="","",ROW()-1)</f>
        <v/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customFormat="false" ht="15" hidden="false" customHeight="false" outlineLevel="0" collapsed="false">
      <c r="A141" s="11" t="str">
        <f aca="false">IF(B141="","",ROW()-1)</f>
        <v/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customFormat="false" ht="15" hidden="false" customHeight="false" outlineLevel="0" collapsed="false">
      <c r="A142" s="11" t="str">
        <f aca="false">IF(B142="","",ROW()-1)</f>
        <v/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customFormat="false" ht="15" hidden="false" customHeight="false" outlineLevel="0" collapsed="false">
      <c r="A143" s="11" t="str">
        <f aca="false">IF(B143="","",ROW()-1)</f>
        <v/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customFormat="false" ht="15" hidden="false" customHeight="false" outlineLevel="0" collapsed="false">
      <c r="A144" s="11" t="str">
        <f aca="false">IF(B144="","",ROW()-1)</f>
        <v/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customFormat="false" ht="15" hidden="false" customHeight="false" outlineLevel="0" collapsed="false">
      <c r="A145" s="11" t="str">
        <f aca="false">IF(B145="","",ROW()-1)</f>
        <v/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customFormat="false" ht="15" hidden="false" customHeight="false" outlineLevel="0" collapsed="false">
      <c r="A146" s="11" t="str">
        <f aca="false">IF(B146="","",ROW()-1)</f>
        <v/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customFormat="false" ht="15" hidden="false" customHeight="false" outlineLevel="0" collapsed="false">
      <c r="A147" s="11" t="str">
        <f aca="false">IF(B147="","",ROW()-1)</f>
        <v/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customFormat="false" ht="15" hidden="false" customHeight="false" outlineLevel="0" collapsed="false">
      <c r="A148" s="11" t="str">
        <f aca="false">IF(B148="","",ROW()-1)</f>
        <v/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customFormat="false" ht="15" hidden="false" customHeight="false" outlineLevel="0" collapsed="false">
      <c r="A149" s="11" t="str">
        <f aca="false">IF(B149="","",ROW()-1)</f>
        <v/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customFormat="false" ht="15" hidden="false" customHeight="false" outlineLevel="0" collapsed="false">
      <c r="A150" s="11" t="str">
        <f aca="false">IF(B150="","",ROW()-1)</f>
        <v/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customFormat="false" ht="15" hidden="false" customHeight="false" outlineLevel="0" collapsed="false">
      <c r="A151" s="11" t="str">
        <f aca="false">IF(B151="","",ROW()-1)</f>
        <v/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customFormat="false" ht="15" hidden="false" customHeight="false" outlineLevel="0" collapsed="false">
      <c r="A152" s="11" t="str">
        <f aca="false">IF(B152="","",ROW()-1)</f>
        <v/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customFormat="false" ht="15" hidden="false" customHeight="false" outlineLevel="0" collapsed="false">
      <c r="A153" s="11" t="str">
        <f aca="false">IF(B153="","",ROW()-1)</f>
        <v/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customFormat="false" ht="15" hidden="false" customHeight="false" outlineLevel="0" collapsed="false">
      <c r="A154" s="11" t="str">
        <f aca="false">IF(B154="","",ROW()-1)</f>
        <v/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customFormat="false" ht="15" hidden="false" customHeight="false" outlineLevel="0" collapsed="false">
      <c r="A155" s="11" t="str">
        <f aca="false">IF(B155="","",ROW()-1)</f>
        <v/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customFormat="false" ht="15" hidden="false" customHeight="false" outlineLevel="0" collapsed="false">
      <c r="A156" s="11" t="str">
        <f aca="false">IF(B156="","",ROW()-1)</f>
        <v/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customFormat="false" ht="15" hidden="false" customHeight="false" outlineLevel="0" collapsed="false">
      <c r="A157" s="11" t="str">
        <f aca="false">IF(B157="","",ROW()-1)</f>
        <v/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customFormat="false" ht="15" hidden="false" customHeight="false" outlineLevel="0" collapsed="false">
      <c r="A158" s="11" t="str">
        <f aca="false">IF(B158="","",ROW()-1)</f>
        <v/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customFormat="false" ht="15" hidden="false" customHeight="false" outlineLevel="0" collapsed="false">
      <c r="A159" s="11" t="str">
        <f aca="false">IF(B159="","",ROW()-1)</f>
        <v/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customFormat="false" ht="15" hidden="false" customHeight="false" outlineLevel="0" collapsed="false">
      <c r="A160" s="11" t="str">
        <f aca="false">IF(B160="","",ROW()-1)</f>
        <v/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customFormat="false" ht="15" hidden="false" customHeight="false" outlineLevel="0" collapsed="false">
      <c r="A161" s="11" t="str">
        <f aca="false">IF(B161="","",ROW()-1)</f>
        <v/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customFormat="false" ht="15" hidden="false" customHeight="false" outlineLevel="0" collapsed="false">
      <c r="A162" s="11" t="str">
        <f aca="false">IF(B162="","",ROW()-1)</f>
        <v/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customFormat="false" ht="15" hidden="false" customHeight="false" outlineLevel="0" collapsed="false">
      <c r="A163" s="11" t="str">
        <f aca="false">IF(B163="","",ROW()-1)</f>
        <v/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customFormat="false" ht="15" hidden="false" customHeight="false" outlineLevel="0" collapsed="false">
      <c r="A164" s="11" t="str">
        <f aca="false">IF(B164="","",ROW()-1)</f>
        <v/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customFormat="false" ht="15" hidden="false" customHeight="false" outlineLevel="0" collapsed="false">
      <c r="A165" s="11" t="str">
        <f aca="false">IF(B165="","",ROW()-1)</f>
        <v/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customFormat="false" ht="15" hidden="false" customHeight="false" outlineLevel="0" collapsed="false">
      <c r="A166" s="11" t="str">
        <f aca="false">IF(B166="","",ROW()-1)</f>
        <v/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customFormat="false" ht="15" hidden="false" customHeight="false" outlineLevel="0" collapsed="false">
      <c r="A167" s="11" t="str">
        <f aca="false">IF(B167="","",ROW()-1)</f>
        <v/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customFormat="false" ht="15" hidden="false" customHeight="false" outlineLevel="0" collapsed="false">
      <c r="A168" s="11" t="str">
        <f aca="false">IF(B168="","",ROW()-1)</f>
        <v/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customFormat="false" ht="15" hidden="false" customHeight="false" outlineLevel="0" collapsed="false">
      <c r="A169" s="11" t="str">
        <f aca="false">IF(B169="","",ROW()-1)</f>
        <v/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customFormat="false" ht="15" hidden="false" customHeight="false" outlineLevel="0" collapsed="false">
      <c r="A170" s="11" t="str">
        <f aca="false">IF(B170="","",ROW()-1)</f>
        <v/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customFormat="false" ht="15" hidden="false" customHeight="false" outlineLevel="0" collapsed="false">
      <c r="A171" s="11" t="str">
        <f aca="false">IF(B171="","",ROW()-1)</f>
        <v/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customFormat="false" ht="15" hidden="false" customHeight="false" outlineLevel="0" collapsed="false">
      <c r="A172" s="11" t="str">
        <f aca="false">IF(B172="","",ROW()-1)</f>
        <v/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customFormat="false" ht="15" hidden="false" customHeight="false" outlineLevel="0" collapsed="false">
      <c r="A173" s="11" t="str">
        <f aca="false">IF(B173="","",ROW()-1)</f>
        <v/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customFormat="false" ht="15" hidden="false" customHeight="false" outlineLevel="0" collapsed="false">
      <c r="A174" s="11" t="str">
        <f aca="false">IF(B174="","",ROW()-1)</f>
        <v/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customFormat="false" ht="15" hidden="false" customHeight="false" outlineLevel="0" collapsed="false">
      <c r="A175" s="11" t="str">
        <f aca="false">IF(B175="","",ROW()-1)</f>
        <v/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customFormat="false" ht="15" hidden="false" customHeight="false" outlineLevel="0" collapsed="false">
      <c r="A176" s="11" t="str">
        <f aca="false">IF(B176="","",ROW()-1)</f>
        <v/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customFormat="false" ht="15" hidden="false" customHeight="false" outlineLevel="0" collapsed="false">
      <c r="A177" s="11" t="str">
        <f aca="false">IF(B177="","",ROW()-1)</f>
        <v/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customFormat="false" ht="15" hidden="false" customHeight="false" outlineLevel="0" collapsed="false">
      <c r="A178" s="11" t="str">
        <f aca="false">IF(B178="","",ROW()-1)</f>
        <v/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customFormat="false" ht="15" hidden="false" customHeight="false" outlineLevel="0" collapsed="false">
      <c r="A179" s="11" t="str">
        <f aca="false">IF(B179="","",ROW()-1)</f>
        <v/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customFormat="false" ht="15" hidden="false" customHeight="false" outlineLevel="0" collapsed="false">
      <c r="A180" s="11" t="str">
        <f aca="false">IF(B180="","",ROW()-1)</f>
        <v/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customFormat="false" ht="15" hidden="false" customHeight="false" outlineLevel="0" collapsed="false">
      <c r="A181" s="11" t="str">
        <f aca="false">IF(B181="","",ROW()-1)</f>
        <v/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customFormat="false" ht="15" hidden="false" customHeight="false" outlineLevel="0" collapsed="false">
      <c r="A182" s="11" t="str">
        <f aca="false">IF(B182="","",ROW()-1)</f>
        <v/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customFormat="false" ht="15" hidden="false" customHeight="false" outlineLevel="0" collapsed="false">
      <c r="A183" s="11" t="str">
        <f aca="false">IF(B183="","",ROW()-1)</f>
        <v/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customFormat="false" ht="15" hidden="false" customHeight="false" outlineLevel="0" collapsed="false">
      <c r="A184" s="11" t="str">
        <f aca="false">IF(B184="","",ROW()-1)</f>
        <v/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customFormat="false" ht="15" hidden="false" customHeight="false" outlineLevel="0" collapsed="false">
      <c r="A185" s="11" t="str">
        <f aca="false">IF(B185="","",ROW()-1)</f>
        <v/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customFormat="false" ht="15" hidden="false" customHeight="false" outlineLevel="0" collapsed="false">
      <c r="A186" s="11" t="str">
        <f aca="false">IF(B186="","",ROW()-1)</f>
        <v/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customFormat="false" ht="15" hidden="false" customHeight="false" outlineLevel="0" collapsed="false">
      <c r="A187" s="11" t="str">
        <f aca="false">IF(B187="","",ROW()-1)</f>
        <v/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customFormat="false" ht="15" hidden="false" customHeight="false" outlineLevel="0" collapsed="false">
      <c r="A188" s="11" t="str">
        <f aca="false">IF(B188="","",ROW()-1)</f>
        <v/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customFormat="false" ht="15" hidden="false" customHeight="false" outlineLevel="0" collapsed="false">
      <c r="A189" s="11" t="str">
        <f aca="false">IF(B189="","",ROW()-1)</f>
        <v/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customFormat="false" ht="15" hidden="false" customHeight="false" outlineLevel="0" collapsed="false">
      <c r="A190" s="11" t="str">
        <f aca="false">IF(B190="","",ROW()-1)</f>
        <v/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customFormat="false" ht="15" hidden="false" customHeight="false" outlineLevel="0" collapsed="false">
      <c r="A191" s="11" t="str">
        <f aca="false">IF(B191="","",ROW()-1)</f>
        <v/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customFormat="false" ht="15" hidden="false" customHeight="false" outlineLevel="0" collapsed="false">
      <c r="A192" s="11" t="str">
        <f aca="false">IF(B192="","",ROW()-1)</f>
        <v/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customFormat="false" ht="15" hidden="false" customHeight="false" outlineLevel="0" collapsed="false">
      <c r="A193" s="11" t="str">
        <f aca="false">IF(B193="","",ROW()-1)</f>
        <v/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customFormat="false" ht="15" hidden="false" customHeight="false" outlineLevel="0" collapsed="false">
      <c r="A194" s="11" t="str">
        <f aca="false">IF(B194="","",ROW()-1)</f>
        <v/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customFormat="false" ht="15" hidden="false" customHeight="false" outlineLevel="0" collapsed="false">
      <c r="A195" s="11" t="str">
        <f aca="false">IF(B195="","",ROW()-1)</f>
        <v/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customFormat="false" ht="15" hidden="false" customHeight="false" outlineLevel="0" collapsed="false">
      <c r="A196" s="11" t="str">
        <f aca="false">IF(B196="","",ROW()-1)</f>
        <v/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customFormat="false" ht="15" hidden="false" customHeight="false" outlineLevel="0" collapsed="false">
      <c r="A197" s="11" t="str">
        <f aca="false">IF(B197="","",ROW()-1)</f>
        <v/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customFormat="false" ht="15" hidden="false" customHeight="false" outlineLevel="0" collapsed="false">
      <c r="A198" s="11" t="str">
        <f aca="false">IF(B198="","",ROW()-1)</f>
        <v/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customFormat="false" ht="15" hidden="false" customHeight="false" outlineLevel="0" collapsed="false">
      <c r="A199" s="11" t="str">
        <f aca="false">IF(B199="","",ROW()-1)</f>
        <v/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customFormat="false" ht="15" hidden="false" customHeight="false" outlineLevel="0" collapsed="false">
      <c r="A200" s="11" t="str">
        <f aca="false">IF(B200="","",ROW()-1)</f>
        <v/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customFormat="false" ht="15" hidden="false" customHeight="false" outlineLevel="0" collapsed="false">
      <c r="A201" s="11" t="str">
        <f aca="false">IF(B201="","",ROW()-1)</f>
        <v/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customFormat="false" ht="15" hidden="false" customHeight="false" outlineLevel="0" collapsed="false">
      <c r="A202" s="11" t="str">
        <f aca="false">IF(B202="","",ROW()-1)</f>
        <v/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customFormat="false" ht="15" hidden="false" customHeight="false" outlineLevel="0" collapsed="false">
      <c r="A203" s="11" t="str">
        <f aca="false">IF(B203="","",ROW()-1)</f>
        <v/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customFormat="false" ht="15" hidden="false" customHeight="false" outlineLevel="0" collapsed="false">
      <c r="A204" s="11" t="str">
        <f aca="false">IF(B204="","",ROW()-1)</f>
        <v/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customFormat="false" ht="15" hidden="false" customHeight="false" outlineLevel="0" collapsed="false">
      <c r="A205" s="11" t="str">
        <f aca="false">IF(B205="","",ROW()-1)</f>
        <v/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customFormat="false" ht="15" hidden="false" customHeight="false" outlineLevel="0" collapsed="false">
      <c r="A206" s="11" t="str">
        <f aca="false">IF(B206="","",ROW()-1)</f>
        <v/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customFormat="false" ht="15" hidden="false" customHeight="false" outlineLevel="0" collapsed="false">
      <c r="A207" s="11" t="str">
        <f aca="false">IF(B207="","",ROW()-1)</f>
        <v/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customFormat="false" ht="15" hidden="false" customHeight="false" outlineLevel="0" collapsed="false">
      <c r="A208" s="11" t="str">
        <f aca="false">IF(B208="","",ROW()-1)</f>
        <v/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customFormat="false" ht="15" hidden="false" customHeight="false" outlineLevel="0" collapsed="false">
      <c r="A209" s="11" t="str">
        <f aca="false">IF(B209="","",ROW()-1)</f>
        <v/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customFormat="false" ht="15" hidden="false" customHeight="false" outlineLevel="0" collapsed="false">
      <c r="A210" s="11" t="str">
        <f aca="false">IF(B210="","",ROW()-1)</f>
        <v/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customFormat="false" ht="15" hidden="false" customHeight="false" outlineLevel="0" collapsed="false">
      <c r="A211" s="11" t="str">
        <f aca="false">IF(B211="","",ROW()-1)</f>
        <v/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customFormat="false" ht="15" hidden="false" customHeight="false" outlineLevel="0" collapsed="false">
      <c r="A212" s="11" t="str">
        <f aca="false">IF(B212="","",ROW()-1)</f>
        <v/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customFormat="false" ht="15" hidden="false" customHeight="false" outlineLevel="0" collapsed="false">
      <c r="A213" s="11" t="str">
        <f aca="false">IF(B213="","",ROW()-1)</f>
        <v/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customFormat="false" ht="15" hidden="false" customHeight="false" outlineLevel="0" collapsed="false">
      <c r="A214" s="11" t="str">
        <f aca="false">IF(B214="","",ROW()-1)</f>
        <v/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customFormat="false" ht="15" hidden="false" customHeight="false" outlineLevel="0" collapsed="false">
      <c r="A215" s="11" t="str">
        <f aca="false">IF(B215="","",ROW()-1)</f>
        <v/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customFormat="false" ht="15" hidden="false" customHeight="false" outlineLevel="0" collapsed="false">
      <c r="A216" s="11" t="str">
        <f aca="false">IF(B216="","",ROW()-1)</f>
        <v/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customFormat="false" ht="15" hidden="false" customHeight="false" outlineLevel="0" collapsed="false">
      <c r="A217" s="11" t="str">
        <f aca="false">IF(B217="","",ROW()-1)</f>
        <v/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customFormat="false" ht="15" hidden="false" customHeight="false" outlineLevel="0" collapsed="false">
      <c r="A218" s="11" t="str">
        <f aca="false">IF(B218="","",ROW()-1)</f>
        <v/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customFormat="false" ht="15" hidden="false" customHeight="false" outlineLevel="0" collapsed="false">
      <c r="A219" s="11" t="str">
        <f aca="false">IF(B219="","",ROW()-1)</f>
        <v/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customFormat="false" ht="15" hidden="false" customHeight="false" outlineLevel="0" collapsed="false">
      <c r="A220" s="11" t="str">
        <f aca="false">IF(B220="","",ROW()-1)</f>
        <v/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customFormat="false" ht="15" hidden="false" customHeight="false" outlineLevel="0" collapsed="false">
      <c r="A221" s="11" t="str">
        <f aca="false">IF(B221="","",ROW()-1)</f>
        <v/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customFormat="false" ht="15" hidden="false" customHeight="false" outlineLevel="0" collapsed="false">
      <c r="A222" s="11" t="str">
        <f aca="false">IF(B222="","",ROW()-1)</f>
        <v/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customFormat="false" ht="15" hidden="false" customHeight="false" outlineLevel="0" collapsed="false">
      <c r="A223" s="11" t="str">
        <f aca="false">IF(B223="","",ROW()-1)</f>
        <v/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customFormat="false" ht="15" hidden="false" customHeight="false" outlineLevel="0" collapsed="false">
      <c r="A224" s="11" t="str">
        <f aca="false">IF(B224="","",ROW()-1)</f>
        <v/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customFormat="false" ht="15" hidden="false" customHeight="false" outlineLevel="0" collapsed="false">
      <c r="A225" s="11" t="str">
        <f aca="false">IF(B225="","",ROW()-1)</f>
        <v/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customFormat="false" ht="15" hidden="false" customHeight="false" outlineLevel="0" collapsed="false">
      <c r="A226" s="11" t="str">
        <f aca="false">IF(B226="","",ROW()-1)</f>
        <v/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customFormat="false" ht="15" hidden="false" customHeight="false" outlineLevel="0" collapsed="false">
      <c r="A227" s="11" t="str">
        <f aca="false">IF(B227="","",ROW()-1)</f>
        <v/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customFormat="false" ht="15" hidden="false" customHeight="false" outlineLevel="0" collapsed="false">
      <c r="A228" s="11" t="str">
        <f aca="false">IF(B228="","",ROW()-1)</f>
        <v/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customFormat="false" ht="15" hidden="false" customHeight="false" outlineLevel="0" collapsed="false">
      <c r="A229" s="11" t="str">
        <f aca="false">IF(B229="","",ROW()-1)</f>
        <v/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customFormat="false" ht="15" hidden="false" customHeight="false" outlineLevel="0" collapsed="false">
      <c r="A230" s="11" t="str">
        <f aca="false">IF(B230="","",ROW()-1)</f>
        <v/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customFormat="false" ht="15" hidden="false" customHeight="false" outlineLevel="0" collapsed="false">
      <c r="A231" s="11" t="str">
        <f aca="false">IF(B231="","",ROW()-1)</f>
        <v/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customFormat="false" ht="15" hidden="false" customHeight="false" outlineLevel="0" collapsed="false">
      <c r="A232" s="11" t="str">
        <f aca="false">IF(B232="","",ROW()-1)</f>
        <v/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customFormat="false" ht="15" hidden="false" customHeight="false" outlineLevel="0" collapsed="false">
      <c r="A233" s="11" t="str">
        <f aca="false">IF(B233="","",ROW()-1)</f>
        <v/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customFormat="false" ht="15" hidden="false" customHeight="false" outlineLevel="0" collapsed="false">
      <c r="A234" s="11" t="str">
        <f aca="false">IF(B234="","",ROW()-1)</f>
        <v/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customFormat="false" ht="15" hidden="false" customHeight="false" outlineLevel="0" collapsed="false">
      <c r="A235" s="11" t="str">
        <f aca="false">IF(B235="","",ROW()-1)</f>
        <v/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customFormat="false" ht="15" hidden="false" customHeight="false" outlineLevel="0" collapsed="false">
      <c r="A236" s="11" t="str">
        <f aca="false">IF(B236="","",ROW()-1)</f>
        <v/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customFormat="false" ht="15" hidden="false" customHeight="false" outlineLevel="0" collapsed="false">
      <c r="A237" s="11" t="str">
        <f aca="false">IF(B237="","",ROW()-1)</f>
        <v/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customFormat="false" ht="15" hidden="false" customHeight="false" outlineLevel="0" collapsed="false">
      <c r="A238" s="11" t="str">
        <f aca="false">IF(B238="","",ROW()-1)</f>
        <v/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customFormat="false" ht="15" hidden="false" customHeight="false" outlineLevel="0" collapsed="false">
      <c r="A239" s="11" t="str">
        <f aca="false">IF(B239="","",ROW()-1)</f>
        <v/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customFormat="false" ht="15" hidden="false" customHeight="false" outlineLevel="0" collapsed="false">
      <c r="A240" s="11" t="str">
        <f aca="false">IF(B240="","",ROW()-1)</f>
        <v/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customFormat="false" ht="15" hidden="false" customHeight="false" outlineLevel="0" collapsed="false">
      <c r="A241" s="11" t="str">
        <f aca="false">IF(B241="","",ROW()-1)</f>
        <v/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customFormat="false" ht="15" hidden="false" customHeight="false" outlineLevel="0" collapsed="false">
      <c r="A242" s="11" t="str">
        <f aca="false">IF(B242="","",ROW()-1)</f>
        <v/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customFormat="false" ht="15" hidden="false" customHeight="false" outlineLevel="0" collapsed="false">
      <c r="A243" s="11" t="str">
        <f aca="false">IF(B243="","",ROW()-1)</f>
        <v/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customFormat="false" ht="15" hidden="false" customHeight="false" outlineLevel="0" collapsed="false">
      <c r="A244" s="11" t="str">
        <f aca="false">IF(B244="","",ROW()-1)</f>
        <v/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customFormat="false" ht="15" hidden="false" customHeight="false" outlineLevel="0" collapsed="false">
      <c r="A245" s="11" t="str">
        <f aca="false">IF(B245="","",ROW()-1)</f>
        <v/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customFormat="false" ht="15" hidden="false" customHeight="false" outlineLevel="0" collapsed="false">
      <c r="A246" s="11" t="str">
        <f aca="false">IF(B246="","",ROW()-1)</f>
        <v/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customFormat="false" ht="15" hidden="false" customHeight="false" outlineLevel="0" collapsed="false">
      <c r="A247" s="11" t="str">
        <f aca="false">IF(B247="","",ROW()-1)</f>
        <v/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customFormat="false" ht="15" hidden="false" customHeight="false" outlineLevel="0" collapsed="false">
      <c r="A248" s="11" t="str">
        <f aca="false">IF(B248="","",ROW()-1)</f>
        <v/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customFormat="false" ht="15" hidden="false" customHeight="false" outlineLevel="0" collapsed="false">
      <c r="A249" s="11" t="str">
        <f aca="false">IF(B249="","",ROW()-1)</f>
        <v/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customFormat="false" ht="15" hidden="false" customHeight="false" outlineLevel="0" collapsed="false">
      <c r="A250" s="11" t="str">
        <f aca="false">IF(B250="","",ROW()-1)</f>
        <v/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customFormat="false" ht="15" hidden="false" customHeight="false" outlineLevel="0" collapsed="false">
      <c r="A251" s="11" t="str">
        <f aca="false">IF(B251="","",ROW()-1)</f>
        <v/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customFormat="false" ht="15" hidden="false" customHeight="false" outlineLevel="0" collapsed="false">
      <c r="A252" s="11" t="str">
        <f aca="false">IF(B252="","",ROW()-1)</f>
        <v/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customFormat="false" ht="15" hidden="false" customHeight="false" outlineLevel="0" collapsed="false">
      <c r="A253" s="11" t="str">
        <f aca="false">IF(B253="","",ROW()-1)</f>
        <v/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customFormat="false" ht="15" hidden="false" customHeight="false" outlineLevel="0" collapsed="false">
      <c r="A254" s="11" t="str">
        <f aca="false">IF(B254="","",ROW()-1)</f>
        <v/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customFormat="false" ht="15" hidden="false" customHeight="false" outlineLevel="0" collapsed="false">
      <c r="A255" s="11" t="str">
        <f aca="false">IF(B255="","",ROW()-1)</f>
        <v/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customFormat="false" ht="15" hidden="false" customHeight="false" outlineLevel="0" collapsed="false">
      <c r="A256" s="11" t="str">
        <f aca="false">IF(B256="","",ROW()-1)</f>
        <v/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customFormat="false" ht="15" hidden="false" customHeight="false" outlineLevel="0" collapsed="false">
      <c r="A257" s="11" t="str">
        <f aca="false">IF(B257="","",ROW()-1)</f>
        <v/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customFormat="false" ht="15" hidden="false" customHeight="false" outlineLevel="0" collapsed="false">
      <c r="A258" s="11" t="str">
        <f aca="false">IF(B258="","",ROW()-1)</f>
        <v/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customFormat="false" ht="15" hidden="false" customHeight="false" outlineLevel="0" collapsed="false">
      <c r="A259" s="11" t="str">
        <f aca="false">IF(B259="","",ROW()-1)</f>
        <v/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customFormat="false" ht="15" hidden="false" customHeight="false" outlineLevel="0" collapsed="false">
      <c r="A260" s="11" t="str">
        <f aca="false">IF(B260="","",ROW()-1)</f>
        <v/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customFormat="false" ht="15" hidden="false" customHeight="false" outlineLevel="0" collapsed="false">
      <c r="A261" s="11" t="str">
        <f aca="false">IF(B261="","",ROW()-1)</f>
        <v/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customFormat="false" ht="15" hidden="false" customHeight="false" outlineLevel="0" collapsed="false">
      <c r="A262" s="11" t="str">
        <f aca="false">IF(B262="","",ROW()-1)</f>
        <v/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customFormat="false" ht="15" hidden="false" customHeight="false" outlineLevel="0" collapsed="false">
      <c r="A263" s="11" t="str">
        <f aca="false">IF(B263="","",ROW()-1)</f>
        <v/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customFormat="false" ht="15" hidden="false" customHeight="false" outlineLevel="0" collapsed="false">
      <c r="A264" s="11" t="str">
        <f aca="false">IF(B264="","",ROW()-1)</f>
        <v/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customFormat="false" ht="15" hidden="false" customHeight="false" outlineLevel="0" collapsed="false">
      <c r="A265" s="11" t="str">
        <f aca="false">IF(B265="","",ROW()-1)</f>
        <v/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customFormat="false" ht="15" hidden="false" customHeight="false" outlineLevel="0" collapsed="false">
      <c r="A266" s="11" t="str">
        <f aca="false">IF(B266="","",ROW()-1)</f>
        <v/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customFormat="false" ht="15" hidden="false" customHeight="false" outlineLevel="0" collapsed="false">
      <c r="A267" s="11" t="str">
        <f aca="false">IF(B267="","",ROW()-1)</f>
        <v/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customFormat="false" ht="15" hidden="false" customHeight="false" outlineLevel="0" collapsed="false">
      <c r="A268" s="11" t="str">
        <f aca="false">IF(B268="","",ROW()-1)</f>
        <v/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customFormat="false" ht="15" hidden="false" customHeight="false" outlineLevel="0" collapsed="false">
      <c r="A269" s="11" t="str">
        <f aca="false">IF(B269="","",ROW()-1)</f>
        <v/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customFormat="false" ht="15" hidden="false" customHeight="false" outlineLevel="0" collapsed="false">
      <c r="A270" s="11" t="str">
        <f aca="false">IF(B270="","",ROW()-1)</f>
        <v/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customFormat="false" ht="15" hidden="false" customHeight="false" outlineLevel="0" collapsed="false">
      <c r="A271" s="11" t="str">
        <f aca="false">IF(B271="","",ROW()-1)</f>
        <v/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customFormat="false" ht="15" hidden="false" customHeight="false" outlineLevel="0" collapsed="false">
      <c r="A272" s="11" t="str">
        <f aca="false">IF(B272="","",ROW()-1)</f>
        <v/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customFormat="false" ht="15" hidden="false" customHeight="false" outlineLevel="0" collapsed="false">
      <c r="A273" s="11" t="str">
        <f aca="false">IF(B273="","",ROW()-1)</f>
        <v/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customFormat="false" ht="15" hidden="false" customHeight="false" outlineLevel="0" collapsed="false">
      <c r="A274" s="11" t="str">
        <f aca="false">IF(B274="","",ROW()-1)</f>
        <v/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customFormat="false" ht="15" hidden="false" customHeight="false" outlineLevel="0" collapsed="false">
      <c r="A275" s="11" t="str">
        <f aca="false">IF(B275="","",ROW()-1)</f>
        <v/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customFormat="false" ht="15" hidden="false" customHeight="false" outlineLevel="0" collapsed="false">
      <c r="A276" s="11" t="str">
        <f aca="false">IF(B276="","",ROW()-1)</f>
        <v/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customFormat="false" ht="15" hidden="false" customHeight="false" outlineLevel="0" collapsed="false">
      <c r="A277" s="11" t="str">
        <f aca="false">IF(B277="","",ROW()-1)</f>
        <v/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customFormat="false" ht="15" hidden="false" customHeight="false" outlineLevel="0" collapsed="false">
      <c r="A278" s="11" t="str">
        <f aca="false">IF(B278="","",ROW()-1)</f>
        <v/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customFormat="false" ht="15" hidden="false" customHeight="false" outlineLevel="0" collapsed="false">
      <c r="A279" s="11" t="str">
        <f aca="false">IF(B279="","",ROW()-1)</f>
        <v/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customFormat="false" ht="15" hidden="false" customHeight="false" outlineLevel="0" collapsed="false">
      <c r="A280" s="11" t="str">
        <f aca="false">IF(B280="","",ROW()-1)</f>
        <v/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customFormat="false" ht="15" hidden="false" customHeight="false" outlineLevel="0" collapsed="false">
      <c r="A281" s="11" t="str">
        <f aca="false">IF(B281="","",ROW()-1)</f>
        <v/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customFormat="false" ht="15" hidden="false" customHeight="false" outlineLevel="0" collapsed="false">
      <c r="A282" s="11" t="str">
        <f aca="false">IF(B282="","",ROW()-1)</f>
        <v/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customFormat="false" ht="15" hidden="false" customHeight="false" outlineLevel="0" collapsed="false">
      <c r="A283" s="11" t="str">
        <f aca="false">IF(B283="","",ROW()-1)</f>
        <v/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customFormat="false" ht="15" hidden="false" customHeight="false" outlineLevel="0" collapsed="false">
      <c r="A284" s="11" t="str">
        <f aca="false">IF(B284="","",ROW()-1)</f>
        <v/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customFormat="false" ht="15" hidden="false" customHeight="false" outlineLevel="0" collapsed="false">
      <c r="A285" s="11" t="str">
        <f aca="false">IF(B285="","",ROW()-1)</f>
        <v/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customFormat="false" ht="15" hidden="false" customHeight="false" outlineLevel="0" collapsed="false">
      <c r="A286" s="11" t="str">
        <f aca="false">IF(B286="","",ROW()-1)</f>
        <v/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customFormat="false" ht="15" hidden="false" customHeight="false" outlineLevel="0" collapsed="false">
      <c r="A287" s="11" t="str">
        <f aca="false">IF(B287="","",ROW()-1)</f>
        <v/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customFormat="false" ht="15" hidden="false" customHeight="false" outlineLevel="0" collapsed="false">
      <c r="A288" s="11" t="str">
        <f aca="false">IF(B288="","",ROW()-1)</f>
        <v/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customFormat="false" ht="15" hidden="false" customHeight="false" outlineLevel="0" collapsed="false">
      <c r="A289" s="11" t="str">
        <f aca="false">IF(B289="","",ROW()-1)</f>
        <v/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customFormat="false" ht="15" hidden="false" customHeight="false" outlineLevel="0" collapsed="false">
      <c r="A290" s="11" t="str">
        <f aca="false">IF(B290="","",ROW()-1)</f>
        <v/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customFormat="false" ht="15" hidden="false" customHeight="false" outlineLevel="0" collapsed="false">
      <c r="A291" s="11" t="str">
        <f aca="false">IF(B291="","",ROW()-1)</f>
        <v/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customFormat="false" ht="15" hidden="false" customHeight="false" outlineLevel="0" collapsed="false">
      <c r="A292" s="11" t="str">
        <f aca="false">IF(B292="","",ROW()-1)</f>
        <v/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customFormat="false" ht="15" hidden="false" customHeight="false" outlineLevel="0" collapsed="false">
      <c r="A293" s="11" t="str">
        <f aca="false">IF(B293="","",ROW()-1)</f>
        <v/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customFormat="false" ht="15" hidden="false" customHeight="false" outlineLevel="0" collapsed="false">
      <c r="A294" s="11" t="str">
        <f aca="false">IF(B294="","",ROW()-1)</f>
        <v/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customFormat="false" ht="15" hidden="false" customHeight="false" outlineLevel="0" collapsed="false">
      <c r="A295" s="11" t="str">
        <f aca="false">IF(B295="","",ROW()-1)</f>
        <v/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customFormat="false" ht="15" hidden="false" customHeight="false" outlineLevel="0" collapsed="false">
      <c r="A296" s="11" t="str">
        <f aca="false">IF(B296="","",ROW()-1)</f>
        <v/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customFormat="false" ht="15" hidden="false" customHeight="false" outlineLevel="0" collapsed="false">
      <c r="A297" s="11" t="str">
        <f aca="false">IF(B297="","",ROW()-1)</f>
        <v/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customFormat="false" ht="15" hidden="false" customHeight="false" outlineLevel="0" collapsed="false">
      <c r="A298" s="11" t="str">
        <f aca="false">IF(B298="","",ROW()-1)</f>
        <v/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customFormat="false" ht="15" hidden="false" customHeight="false" outlineLevel="0" collapsed="false">
      <c r="A299" s="11" t="str">
        <f aca="false">IF(B299="","",ROW()-1)</f>
        <v/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customFormat="false" ht="15" hidden="false" customHeight="false" outlineLevel="0" collapsed="false">
      <c r="A300" s="11" t="str">
        <f aca="false">IF(B300="","",ROW()-1)</f>
        <v/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customFormat="false" ht="15" hidden="false" customHeight="false" outlineLevel="0" collapsed="false">
      <c r="A301" s="11" t="str">
        <f aca="false">IF(B301="","",ROW()-1)</f>
        <v/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customFormat="false" ht="15" hidden="false" customHeight="false" outlineLevel="0" collapsed="false">
      <c r="A302" s="11" t="str">
        <f aca="false">IF(B302="","",ROW()-1)</f>
        <v/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customFormat="false" ht="15" hidden="false" customHeight="false" outlineLevel="0" collapsed="false">
      <c r="A303" s="11" t="str">
        <f aca="false">IF(B303="","",ROW()-1)</f>
        <v/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customFormat="false" ht="15" hidden="false" customHeight="false" outlineLevel="0" collapsed="false">
      <c r="A304" s="11" t="str">
        <f aca="false">IF(B304="","",ROW()-1)</f>
        <v/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customFormat="false" ht="15" hidden="false" customHeight="false" outlineLevel="0" collapsed="false">
      <c r="A305" s="11" t="str">
        <f aca="false">IF(B305="","",ROW()-1)</f>
        <v/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customFormat="false" ht="15" hidden="false" customHeight="false" outlineLevel="0" collapsed="false">
      <c r="A306" s="11" t="str">
        <f aca="false">IF(B306="","",ROW()-1)</f>
        <v/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customFormat="false" ht="15" hidden="false" customHeight="false" outlineLevel="0" collapsed="false">
      <c r="A307" s="11" t="str">
        <f aca="false">IF(B307="","",ROW()-1)</f>
        <v/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customFormat="false" ht="15" hidden="false" customHeight="false" outlineLevel="0" collapsed="false">
      <c r="A308" s="11" t="str">
        <f aca="false">IF(B308="","",ROW()-1)</f>
        <v/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customFormat="false" ht="15" hidden="false" customHeight="false" outlineLevel="0" collapsed="false">
      <c r="A309" s="11" t="str">
        <f aca="false">IF(B309="","",ROW()-1)</f>
        <v/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customFormat="false" ht="15" hidden="false" customHeight="false" outlineLevel="0" collapsed="false">
      <c r="A310" s="11" t="str">
        <f aca="false">IF(B310="","",ROW()-1)</f>
        <v/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customFormat="false" ht="15" hidden="false" customHeight="false" outlineLevel="0" collapsed="false">
      <c r="A311" s="11" t="str">
        <f aca="false">IF(B311="","",ROW()-1)</f>
        <v/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customFormat="false" ht="15" hidden="false" customHeight="false" outlineLevel="0" collapsed="false">
      <c r="A312" s="11" t="str">
        <f aca="false">IF(B312="","",ROW()-1)</f>
        <v/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customFormat="false" ht="15" hidden="false" customHeight="false" outlineLevel="0" collapsed="false">
      <c r="A313" s="11" t="str">
        <f aca="false">IF(B313="","",ROW()-1)</f>
        <v/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customFormat="false" ht="15" hidden="false" customHeight="false" outlineLevel="0" collapsed="false">
      <c r="A314" s="11" t="str">
        <f aca="false">IF(B314="","",ROW()-1)</f>
        <v/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customFormat="false" ht="15" hidden="false" customHeight="false" outlineLevel="0" collapsed="false">
      <c r="A315" s="11" t="str">
        <f aca="false">IF(B315="","",ROW()-1)</f>
        <v/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customFormat="false" ht="15" hidden="false" customHeight="false" outlineLevel="0" collapsed="false">
      <c r="A316" s="11" t="str">
        <f aca="false">IF(B316="","",ROW()-1)</f>
        <v/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customFormat="false" ht="15" hidden="false" customHeight="false" outlineLevel="0" collapsed="false">
      <c r="A317" s="11" t="str">
        <f aca="false">IF(B317="","",ROW()-1)</f>
        <v/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customFormat="false" ht="15" hidden="false" customHeight="false" outlineLevel="0" collapsed="false">
      <c r="A318" s="11" t="str">
        <f aca="false">IF(B318="","",ROW()-1)</f>
        <v/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customFormat="false" ht="15" hidden="false" customHeight="false" outlineLevel="0" collapsed="false">
      <c r="A319" s="11" t="str">
        <f aca="false">IF(B319="","",ROW()-1)</f>
        <v/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customFormat="false" ht="15" hidden="false" customHeight="false" outlineLevel="0" collapsed="false">
      <c r="A320" s="11" t="str">
        <f aca="false">IF(B320="","",ROW()-1)</f>
        <v/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customFormat="false" ht="15" hidden="false" customHeight="false" outlineLevel="0" collapsed="false">
      <c r="A321" s="11" t="str">
        <f aca="false">IF(B321="","",ROW()-1)</f>
        <v/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customFormat="false" ht="15" hidden="false" customHeight="false" outlineLevel="0" collapsed="false">
      <c r="A322" s="11" t="str">
        <f aca="false">IF(B322="","",ROW()-1)</f>
        <v/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customFormat="false" ht="15" hidden="false" customHeight="false" outlineLevel="0" collapsed="false">
      <c r="A323" s="11" t="str">
        <f aca="false">IF(B323="","",ROW()-1)</f>
        <v/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customFormat="false" ht="15" hidden="false" customHeight="false" outlineLevel="0" collapsed="false">
      <c r="A324" s="11" t="str">
        <f aca="false">IF(B324="","",ROW()-1)</f>
        <v/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customFormat="false" ht="15" hidden="false" customHeight="false" outlineLevel="0" collapsed="false">
      <c r="A325" s="11" t="str">
        <f aca="false">IF(B325="","",ROW()-1)</f>
        <v/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customFormat="false" ht="15" hidden="false" customHeight="false" outlineLevel="0" collapsed="false">
      <c r="A326" s="11" t="str">
        <f aca="false">IF(B326="","",ROW()-1)</f>
        <v/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customFormat="false" ht="15" hidden="false" customHeight="false" outlineLevel="0" collapsed="false">
      <c r="A327" s="11" t="str">
        <f aca="false">IF(B327="","",ROW()-1)</f>
        <v/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customFormat="false" ht="15" hidden="false" customHeight="false" outlineLevel="0" collapsed="false">
      <c r="A328" s="11" t="str">
        <f aca="false">IF(B328="","",ROW()-1)</f>
        <v/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customFormat="false" ht="15" hidden="false" customHeight="false" outlineLevel="0" collapsed="false">
      <c r="A329" s="11" t="str">
        <f aca="false">IF(B329="","",ROW()-1)</f>
        <v/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customFormat="false" ht="15" hidden="false" customHeight="false" outlineLevel="0" collapsed="false">
      <c r="A330" s="11" t="str">
        <f aca="false">IF(B330="","",ROW()-1)</f>
        <v/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customFormat="false" ht="15" hidden="false" customHeight="false" outlineLevel="0" collapsed="false">
      <c r="A331" s="11" t="str">
        <f aca="false">IF(B331="","",ROW()-1)</f>
        <v/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customFormat="false" ht="15" hidden="false" customHeight="false" outlineLevel="0" collapsed="false">
      <c r="A332" s="11" t="str">
        <f aca="false">IF(B332="","",ROW()-1)</f>
        <v/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customFormat="false" ht="15" hidden="false" customHeight="false" outlineLevel="0" collapsed="false">
      <c r="A333" s="11" t="str">
        <f aca="false">IF(B333="","",ROW()-1)</f>
        <v/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customFormat="false" ht="15" hidden="false" customHeight="false" outlineLevel="0" collapsed="false">
      <c r="A334" s="11" t="str">
        <f aca="false">IF(B334="","",ROW()-1)</f>
        <v/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customFormat="false" ht="15" hidden="false" customHeight="false" outlineLevel="0" collapsed="false">
      <c r="A335" s="11" t="str">
        <f aca="false">IF(B335="","",ROW()-1)</f>
        <v/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customFormat="false" ht="15" hidden="false" customHeight="false" outlineLevel="0" collapsed="false">
      <c r="A336" s="11" t="str">
        <f aca="false">IF(B336="","",ROW()-1)</f>
        <v/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customFormat="false" ht="15" hidden="false" customHeight="false" outlineLevel="0" collapsed="false">
      <c r="A337" s="11" t="str">
        <f aca="false">IF(B337="","",ROW()-1)</f>
        <v/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customFormat="false" ht="15" hidden="false" customHeight="false" outlineLevel="0" collapsed="false">
      <c r="A338" s="11" t="str">
        <f aca="false">IF(B338="","",ROW()-1)</f>
        <v/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customFormat="false" ht="15" hidden="false" customHeight="false" outlineLevel="0" collapsed="false">
      <c r="A339" s="11" t="str">
        <f aca="false">IF(B339="","",ROW()-1)</f>
        <v/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customFormat="false" ht="15" hidden="false" customHeight="false" outlineLevel="0" collapsed="false">
      <c r="A340" s="11" t="str">
        <f aca="false">IF(B340="","",ROW()-1)</f>
        <v/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customFormat="false" ht="15" hidden="false" customHeight="false" outlineLevel="0" collapsed="false">
      <c r="A341" s="11" t="str">
        <f aca="false">IF(B341="","",ROW()-1)</f>
        <v/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customFormat="false" ht="15" hidden="false" customHeight="false" outlineLevel="0" collapsed="false">
      <c r="A342" s="11" t="str">
        <f aca="false">IF(B342="","",ROW()-1)</f>
        <v/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customFormat="false" ht="15" hidden="false" customHeight="false" outlineLevel="0" collapsed="false">
      <c r="A343" s="11" t="str">
        <f aca="false">IF(B343="","",ROW()-1)</f>
        <v/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customFormat="false" ht="15" hidden="false" customHeight="false" outlineLevel="0" collapsed="false">
      <c r="A344" s="11" t="str">
        <f aca="false">IF(B344="","",ROW()-1)</f>
        <v/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customFormat="false" ht="15" hidden="false" customHeight="false" outlineLevel="0" collapsed="false">
      <c r="A345" s="11" t="str">
        <f aca="false">IF(B345="","",ROW()-1)</f>
        <v/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customFormat="false" ht="15" hidden="false" customHeight="false" outlineLevel="0" collapsed="false">
      <c r="A346" s="11" t="str">
        <f aca="false">IF(B346="","",ROW()-1)</f>
        <v/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customFormat="false" ht="15" hidden="false" customHeight="false" outlineLevel="0" collapsed="false">
      <c r="A347" s="11" t="str">
        <f aca="false">IF(B347="","",ROW()-1)</f>
        <v/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customFormat="false" ht="15" hidden="false" customHeight="false" outlineLevel="0" collapsed="false">
      <c r="A348" s="11" t="str">
        <f aca="false">IF(B348="","",ROW()-1)</f>
        <v/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customFormat="false" ht="15" hidden="false" customHeight="false" outlineLevel="0" collapsed="false">
      <c r="A349" s="11" t="str">
        <f aca="false">IF(B349="","",ROW()-1)</f>
        <v/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customFormat="false" ht="15" hidden="false" customHeight="false" outlineLevel="0" collapsed="false">
      <c r="A350" s="11" t="str">
        <f aca="false">IF(B350="","",ROW()-1)</f>
        <v/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customFormat="false" ht="15" hidden="false" customHeight="false" outlineLevel="0" collapsed="false">
      <c r="A351" s="11" t="str">
        <f aca="false">IF(B351="","",ROW()-1)</f>
        <v/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customFormat="false" ht="15" hidden="false" customHeight="false" outlineLevel="0" collapsed="false">
      <c r="A352" s="11" t="str">
        <f aca="false">IF(B352="","",ROW()-1)</f>
        <v/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customFormat="false" ht="15" hidden="false" customHeight="false" outlineLevel="0" collapsed="false">
      <c r="A353" s="11" t="str">
        <f aca="false">IF(B353="","",ROW()-1)</f>
        <v/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customFormat="false" ht="15" hidden="false" customHeight="false" outlineLevel="0" collapsed="false">
      <c r="A354" s="11" t="str">
        <f aca="false">IF(B354="","",ROW()-1)</f>
        <v/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customFormat="false" ht="15" hidden="false" customHeight="false" outlineLevel="0" collapsed="false">
      <c r="A355" s="11" t="str">
        <f aca="false">IF(B355="","",ROW()-1)</f>
        <v/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customFormat="false" ht="15" hidden="false" customHeight="false" outlineLevel="0" collapsed="false">
      <c r="A356" s="11" t="str">
        <f aca="false">IF(B356="","",ROW()-1)</f>
        <v/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customFormat="false" ht="15" hidden="false" customHeight="false" outlineLevel="0" collapsed="false">
      <c r="A357" s="11" t="str">
        <f aca="false">IF(B357="","",ROW()-1)</f>
        <v/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customFormat="false" ht="15" hidden="false" customHeight="false" outlineLevel="0" collapsed="false">
      <c r="A358" s="11" t="str">
        <f aca="false">IF(B358="","",ROW()-1)</f>
        <v/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customFormat="false" ht="15" hidden="false" customHeight="false" outlineLevel="0" collapsed="false">
      <c r="A359" s="11" t="str">
        <f aca="false">IF(B359="","",ROW()-1)</f>
        <v/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customFormat="false" ht="15" hidden="false" customHeight="false" outlineLevel="0" collapsed="false">
      <c r="A360" s="11" t="str">
        <f aca="false">IF(B360="","",ROW()-1)</f>
        <v/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customFormat="false" ht="15" hidden="false" customHeight="false" outlineLevel="0" collapsed="false">
      <c r="A361" s="11" t="str">
        <f aca="false">IF(B361="","",ROW()-1)</f>
        <v/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customFormat="false" ht="15" hidden="false" customHeight="false" outlineLevel="0" collapsed="false">
      <c r="A362" s="11" t="str">
        <f aca="false">IF(B362="","",ROW()-1)</f>
        <v/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customFormat="false" ht="15" hidden="false" customHeight="false" outlineLevel="0" collapsed="false">
      <c r="A363" s="11" t="str">
        <f aca="false">IF(B363="","",ROW()-1)</f>
        <v/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customFormat="false" ht="15" hidden="false" customHeight="false" outlineLevel="0" collapsed="false">
      <c r="A364" s="11" t="str">
        <f aca="false">IF(B364="","",ROW()-1)</f>
        <v/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customFormat="false" ht="15" hidden="false" customHeight="false" outlineLevel="0" collapsed="false">
      <c r="A365" s="11" t="str">
        <f aca="false">IF(B365="","",ROW()-1)</f>
        <v/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customFormat="false" ht="15" hidden="false" customHeight="false" outlineLevel="0" collapsed="false">
      <c r="A366" s="11" t="str">
        <f aca="false">IF(B366="","",ROW()-1)</f>
        <v/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customFormat="false" ht="15" hidden="false" customHeight="false" outlineLevel="0" collapsed="false">
      <c r="A367" s="11" t="str">
        <f aca="false">IF(B367="","",ROW()-1)</f>
        <v/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customFormat="false" ht="15" hidden="false" customHeight="false" outlineLevel="0" collapsed="false">
      <c r="A368" s="11" t="str">
        <f aca="false">IF(B368="","",ROW()-1)</f>
        <v/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customFormat="false" ht="15" hidden="false" customHeight="false" outlineLevel="0" collapsed="false">
      <c r="A369" s="11" t="str">
        <f aca="false">IF(B369="","",ROW()-1)</f>
        <v/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customFormat="false" ht="15" hidden="false" customHeight="false" outlineLevel="0" collapsed="false">
      <c r="A370" s="11" t="str">
        <f aca="false">IF(B370="","",ROW()-1)</f>
        <v/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customFormat="false" ht="15" hidden="false" customHeight="false" outlineLevel="0" collapsed="false">
      <c r="A371" s="11" t="str">
        <f aca="false">IF(B371="","",ROW()-1)</f>
        <v/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customFormat="false" ht="15" hidden="false" customHeight="false" outlineLevel="0" collapsed="false">
      <c r="A372" s="11" t="str">
        <f aca="false">IF(B372="","",ROW()-1)</f>
        <v/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customFormat="false" ht="15" hidden="false" customHeight="false" outlineLevel="0" collapsed="false">
      <c r="A373" s="11" t="str">
        <f aca="false">IF(B373="","",ROW()-1)</f>
        <v/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customFormat="false" ht="15" hidden="false" customHeight="false" outlineLevel="0" collapsed="false">
      <c r="A374" s="11" t="str">
        <f aca="false">IF(B374="","",ROW()-1)</f>
        <v/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customFormat="false" ht="15" hidden="false" customHeight="false" outlineLevel="0" collapsed="false">
      <c r="A375" s="11" t="str">
        <f aca="false">IF(B375="","",ROW()-1)</f>
        <v/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customFormat="false" ht="15" hidden="false" customHeight="false" outlineLevel="0" collapsed="false">
      <c r="A376" s="11" t="str">
        <f aca="false">IF(B376="","",ROW()-1)</f>
        <v/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customFormat="false" ht="15" hidden="false" customHeight="false" outlineLevel="0" collapsed="false">
      <c r="A377" s="11" t="str">
        <f aca="false">IF(B377="","",ROW()-1)</f>
        <v/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customFormat="false" ht="15" hidden="false" customHeight="false" outlineLevel="0" collapsed="false">
      <c r="A378" s="11" t="str">
        <f aca="false">IF(B378="","",ROW()-1)</f>
        <v/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customFormat="false" ht="15" hidden="false" customHeight="false" outlineLevel="0" collapsed="false">
      <c r="A379" s="11" t="str">
        <f aca="false">IF(B379="","",ROW()-1)</f>
        <v/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customFormat="false" ht="15" hidden="false" customHeight="false" outlineLevel="0" collapsed="false">
      <c r="A380" s="11" t="str">
        <f aca="false">IF(B380="","",ROW()-1)</f>
        <v/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customFormat="false" ht="15" hidden="false" customHeight="false" outlineLevel="0" collapsed="false">
      <c r="A381" s="11" t="str">
        <f aca="false">IF(B381="","",ROW()-1)</f>
        <v/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customFormat="false" ht="15" hidden="false" customHeight="false" outlineLevel="0" collapsed="false">
      <c r="A382" s="11" t="str">
        <f aca="false">IF(B382="","",ROW()-1)</f>
        <v/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customFormat="false" ht="15" hidden="false" customHeight="false" outlineLevel="0" collapsed="false">
      <c r="A383" s="11" t="str">
        <f aca="false">IF(B383="","",ROW()-1)</f>
        <v/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customFormat="false" ht="15" hidden="false" customHeight="false" outlineLevel="0" collapsed="false">
      <c r="A384" s="11" t="str">
        <f aca="false">IF(B384="","",ROW()-1)</f>
        <v/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customFormat="false" ht="15" hidden="false" customHeight="false" outlineLevel="0" collapsed="false">
      <c r="A385" s="11" t="str">
        <f aca="false">IF(B385="","",ROW()-1)</f>
        <v/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customFormat="false" ht="15" hidden="false" customHeight="false" outlineLevel="0" collapsed="false">
      <c r="A386" s="11" t="str">
        <f aca="false">IF(B386="","",ROW()-1)</f>
        <v/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customFormat="false" ht="15" hidden="false" customHeight="false" outlineLevel="0" collapsed="false">
      <c r="A387" s="11" t="str">
        <f aca="false">IF(B387="","",ROW()-1)</f>
        <v/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customFormat="false" ht="15" hidden="false" customHeight="false" outlineLevel="0" collapsed="false">
      <c r="A388" s="11" t="str">
        <f aca="false">IF(B388="","",ROW()-1)</f>
        <v/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customFormat="false" ht="15" hidden="false" customHeight="false" outlineLevel="0" collapsed="false">
      <c r="A389" s="11" t="str">
        <f aca="false">IF(B389="","",ROW()-1)</f>
        <v/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customFormat="false" ht="15" hidden="false" customHeight="false" outlineLevel="0" collapsed="false">
      <c r="A390" s="11" t="str">
        <f aca="false">IF(B390="","",ROW()-1)</f>
        <v/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customFormat="false" ht="15" hidden="false" customHeight="false" outlineLevel="0" collapsed="false">
      <c r="A391" s="11" t="str">
        <f aca="false">IF(B391="","",ROW()-1)</f>
        <v/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customFormat="false" ht="15" hidden="false" customHeight="false" outlineLevel="0" collapsed="false">
      <c r="A392" s="11" t="str">
        <f aca="false">IF(B392="","",ROW()-1)</f>
        <v/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customFormat="false" ht="15" hidden="false" customHeight="false" outlineLevel="0" collapsed="false">
      <c r="A393" s="11" t="str">
        <f aca="false">IF(B393="","",ROW()-1)</f>
        <v/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customFormat="false" ht="15" hidden="false" customHeight="false" outlineLevel="0" collapsed="false">
      <c r="A394" s="11" t="str">
        <f aca="false">IF(B394="","",ROW()-1)</f>
        <v/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customFormat="false" ht="15" hidden="false" customHeight="false" outlineLevel="0" collapsed="false">
      <c r="A395" s="11" t="str">
        <f aca="false">IF(B395="","",ROW()-1)</f>
        <v/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customFormat="false" ht="15" hidden="false" customHeight="false" outlineLevel="0" collapsed="false">
      <c r="A396" s="11" t="str">
        <f aca="false">IF(B396="","",ROW()-1)</f>
        <v/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customFormat="false" ht="15" hidden="false" customHeight="false" outlineLevel="0" collapsed="false">
      <c r="A397" s="11" t="str">
        <f aca="false">IF(B397="","",ROW()-1)</f>
        <v/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customFormat="false" ht="15" hidden="false" customHeight="false" outlineLevel="0" collapsed="false">
      <c r="A398" s="11" t="str">
        <f aca="false">IF(B398="","",ROW()-1)</f>
        <v/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customFormat="false" ht="15" hidden="false" customHeight="false" outlineLevel="0" collapsed="false">
      <c r="A399" s="11" t="str">
        <f aca="false">IF(B399="","",ROW()-1)</f>
        <v/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customFormat="false" ht="15" hidden="false" customHeight="false" outlineLevel="0" collapsed="false">
      <c r="A400" s="11" t="str">
        <f aca="false">IF(B400="","",ROW()-1)</f>
        <v/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customFormat="false" ht="15" hidden="false" customHeight="false" outlineLevel="0" collapsed="false">
      <c r="A401" s="11" t="str">
        <f aca="false">IF(B401="","",ROW()-1)</f>
        <v/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customFormat="false" ht="15" hidden="false" customHeight="false" outlineLevel="0" collapsed="false">
      <c r="A402" s="11" t="str">
        <f aca="false">IF(B402="","",ROW()-1)</f>
        <v/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customFormat="false" ht="15" hidden="false" customHeight="false" outlineLevel="0" collapsed="false">
      <c r="A403" s="11" t="str">
        <f aca="false">IF(B403="","",ROW()-1)</f>
        <v/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customFormat="false" ht="15" hidden="false" customHeight="false" outlineLevel="0" collapsed="false">
      <c r="A404" s="11" t="str">
        <f aca="false">IF(B404="","",ROW()-1)</f>
        <v/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customFormat="false" ht="15" hidden="false" customHeight="false" outlineLevel="0" collapsed="false">
      <c r="A405" s="11" t="str">
        <f aca="false">IF(B405="","",ROW()-1)</f>
        <v/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customFormat="false" ht="15" hidden="false" customHeight="false" outlineLevel="0" collapsed="false">
      <c r="A406" s="11" t="str">
        <f aca="false">IF(B406="","",ROW()-1)</f>
        <v/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customFormat="false" ht="15" hidden="false" customHeight="false" outlineLevel="0" collapsed="false">
      <c r="A407" s="11" t="str">
        <f aca="false">IF(B407="","",ROW()-1)</f>
        <v/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customFormat="false" ht="15" hidden="false" customHeight="false" outlineLevel="0" collapsed="false">
      <c r="A408" s="11" t="str">
        <f aca="false">IF(B408="","",ROW()-1)</f>
        <v/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customFormat="false" ht="15" hidden="false" customHeight="false" outlineLevel="0" collapsed="false">
      <c r="A409" s="11" t="str">
        <f aca="false">IF(B409="","",ROW()-1)</f>
        <v/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customFormat="false" ht="15" hidden="false" customHeight="false" outlineLevel="0" collapsed="false">
      <c r="A410" s="11" t="str">
        <f aca="false">IF(B410="","",ROW()-1)</f>
        <v/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customFormat="false" ht="15" hidden="false" customHeight="false" outlineLevel="0" collapsed="false">
      <c r="A411" s="11" t="str">
        <f aca="false">IF(B411="","",ROW()-1)</f>
        <v/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customFormat="false" ht="15" hidden="false" customHeight="false" outlineLevel="0" collapsed="false">
      <c r="A412" s="11" t="str">
        <f aca="false">IF(B412="","",ROW()-1)</f>
        <v/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customFormat="false" ht="15" hidden="false" customHeight="false" outlineLevel="0" collapsed="false">
      <c r="A413" s="11" t="str">
        <f aca="false">IF(B413="","",ROW()-1)</f>
        <v/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customFormat="false" ht="15" hidden="false" customHeight="false" outlineLevel="0" collapsed="false">
      <c r="A414" s="11" t="str">
        <f aca="false">IF(B414="","",ROW()-1)</f>
        <v/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customFormat="false" ht="15" hidden="false" customHeight="false" outlineLevel="0" collapsed="false">
      <c r="A415" s="11" t="str">
        <f aca="false">IF(B415="","",ROW()-1)</f>
        <v/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customFormat="false" ht="15" hidden="false" customHeight="false" outlineLevel="0" collapsed="false">
      <c r="A416" s="11" t="str">
        <f aca="false">IF(B416="","",ROW()-1)</f>
        <v/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customFormat="false" ht="15" hidden="false" customHeight="false" outlineLevel="0" collapsed="false">
      <c r="A417" s="11" t="str">
        <f aca="false">IF(B417="","",ROW()-1)</f>
        <v/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customFormat="false" ht="15" hidden="false" customHeight="false" outlineLevel="0" collapsed="false">
      <c r="A418" s="11" t="str">
        <f aca="false">IF(B418="","",ROW()-1)</f>
        <v/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customFormat="false" ht="15" hidden="false" customHeight="false" outlineLevel="0" collapsed="false">
      <c r="A419" s="11" t="str">
        <f aca="false">IF(B419="","",ROW()-1)</f>
        <v/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customFormat="false" ht="15" hidden="false" customHeight="false" outlineLevel="0" collapsed="false">
      <c r="A420" s="11" t="str">
        <f aca="false">IF(B420="","",ROW()-1)</f>
        <v/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customFormat="false" ht="15" hidden="false" customHeight="false" outlineLevel="0" collapsed="false">
      <c r="A421" s="11" t="str">
        <f aca="false">IF(B421="","",ROW()-1)</f>
        <v/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customFormat="false" ht="15" hidden="false" customHeight="false" outlineLevel="0" collapsed="false">
      <c r="A422" s="11" t="str">
        <f aca="false">IF(B422="","",ROW()-1)</f>
        <v/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customFormat="false" ht="15" hidden="false" customHeight="false" outlineLevel="0" collapsed="false">
      <c r="A423" s="11" t="str">
        <f aca="false">IF(B423="","",ROW()-1)</f>
        <v/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customFormat="false" ht="15" hidden="false" customHeight="false" outlineLevel="0" collapsed="false">
      <c r="A424" s="11" t="str">
        <f aca="false">IF(B424="","",ROW()-1)</f>
        <v/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customFormat="false" ht="15" hidden="false" customHeight="false" outlineLevel="0" collapsed="false">
      <c r="A425" s="11" t="str">
        <f aca="false">IF(B425="","",ROW()-1)</f>
        <v/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customFormat="false" ht="15" hidden="false" customHeight="false" outlineLevel="0" collapsed="false">
      <c r="A426" s="11" t="str">
        <f aca="false">IF(B426="","",ROW()-1)</f>
        <v/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customFormat="false" ht="15" hidden="false" customHeight="false" outlineLevel="0" collapsed="false">
      <c r="A427" s="11" t="str">
        <f aca="false">IF(B427="","",ROW()-1)</f>
        <v/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customFormat="false" ht="15" hidden="false" customHeight="false" outlineLevel="0" collapsed="false">
      <c r="A428" s="11" t="str">
        <f aca="false">IF(B428="","",ROW()-1)</f>
        <v/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customFormat="false" ht="15" hidden="false" customHeight="false" outlineLevel="0" collapsed="false">
      <c r="A429" s="11" t="str">
        <f aca="false">IF(B429="","",ROW()-1)</f>
        <v/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customFormat="false" ht="15" hidden="false" customHeight="false" outlineLevel="0" collapsed="false">
      <c r="A430" s="11" t="str">
        <f aca="false">IF(B430="","",ROW()-1)</f>
        <v/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customFormat="false" ht="15" hidden="false" customHeight="false" outlineLevel="0" collapsed="false">
      <c r="A431" s="11" t="str">
        <f aca="false">IF(B431="","",ROW()-1)</f>
        <v/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customFormat="false" ht="15" hidden="false" customHeight="false" outlineLevel="0" collapsed="false">
      <c r="A432" s="11" t="str">
        <f aca="false">IF(B432="","",ROW()-1)</f>
        <v/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customFormat="false" ht="15" hidden="false" customHeight="false" outlineLevel="0" collapsed="false">
      <c r="A433" s="11" t="str">
        <f aca="false">IF(B433="","",ROW()-1)</f>
        <v/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customFormat="false" ht="15" hidden="false" customHeight="false" outlineLevel="0" collapsed="false">
      <c r="A434" s="11" t="str">
        <f aca="false">IF(B434="","",ROW()-1)</f>
        <v/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customFormat="false" ht="15" hidden="false" customHeight="false" outlineLevel="0" collapsed="false">
      <c r="A435" s="11" t="str">
        <f aca="false">IF(B435="","",ROW()-1)</f>
        <v/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customFormat="false" ht="15" hidden="false" customHeight="false" outlineLevel="0" collapsed="false">
      <c r="A436" s="11" t="str">
        <f aca="false">IF(B436="","",ROW()-1)</f>
        <v/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customFormat="false" ht="15" hidden="false" customHeight="false" outlineLevel="0" collapsed="false">
      <c r="A437" s="11" t="str">
        <f aca="false">IF(B437="","",ROW()-1)</f>
        <v/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customFormat="false" ht="15" hidden="false" customHeight="false" outlineLevel="0" collapsed="false">
      <c r="A438" s="11" t="str">
        <f aca="false">IF(B438="","",ROW()-1)</f>
        <v/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customFormat="false" ht="15" hidden="false" customHeight="false" outlineLevel="0" collapsed="false">
      <c r="A439" s="11" t="str">
        <f aca="false">IF(B439="","",ROW()-1)</f>
        <v/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customFormat="false" ht="15" hidden="false" customHeight="false" outlineLevel="0" collapsed="false">
      <c r="A440" s="11" t="str">
        <f aca="false">IF(B440="","",ROW()-1)</f>
        <v/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customFormat="false" ht="15" hidden="false" customHeight="false" outlineLevel="0" collapsed="false">
      <c r="A441" s="11" t="str">
        <f aca="false">IF(B441="","",ROW()-1)</f>
        <v/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customFormat="false" ht="15" hidden="false" customHeight="false" outlineLevel="0" collapsed="false">
      <c r="A442" s="11" t="str">
        <f aca="false">IF(B442="","",ROW()-1)</f>
        <v/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customFormat="false" ht="15" hidden="false" customHeight="false" outlineLevel="0" collapsed="false">
      <c r="A443" s="11" t="str">
        <f aca="false">IF(B443="","",ROW()-1)</f>
        <v/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customFormat="false" ht="15" hidden="false" customHeight="false" outlineLevel="0" collapsed="false">
      <c r="A444" s="11" t="str">
        <f aca="false">IF(B444="","",ROW()-1)</f>
        <v/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customFormat="false" ht="15" hidden="false" customHeight="false" outlineLevel="0" collapsed="false">
      <c r="A445" s="11" t="str">
        <f aca="false">IF(B445="","",ROW()-1)</f>
        <v/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customFormat="false" ht="15" hidden="false" customHeight="false" outlineLevel="0" collapsed="false">
      <c r="A446" s="11" t="str">
        <f aca="false">IF(B446="","",ROW()-1)</f>
        <v/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customFormat="false" ht="15" hidden="false" customHeight="false" outlineLevel="0" collapsed="false">
      <c r="A447" s="11" t="str">
        <f aca="false">IF(B447="","",ROW()-1)</f>
        <v/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customFormat="false" ht="15" hidden="false" customHeight="false" outlineLevel="0" collapsed="false">
      <c r="A448" s="11" t="str">
        <f aca="false">IF(B448="","",ROW()-1)</f>
        <v/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customFormat="false" ht="15" hidden="false" customHeight="false" outlineLevel="0" collapsed="false">
      <c r="A449" s="11" t="str">
        <f aca="false">IF(B449="","",ROW()-1)</f>
        <v/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customFormat="false" ht="15" hidden="false" customHeight="false" outlineLevel="0" collapsed="false">
      <c r="A450" s="11" t="str">
        <f aca="false">IF(B450="","",ROW()-1)</f>
        <v/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customFormat="false" ht="15" hidden="false" customHeight="false" outlineLevel="0" collapsed="false">
      <c r="A451" s="11" t="str">
        <f aca="false">IF(B451="","",ROW()-1)</f>
        <v/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customFormat="false" ht="15" hidden="false" customHeight="false" outlineLevel="0" collapsed="false">
      <c r="A452" s="11" t="str">
        <f aca="false">IF(B452="","",ROW()-1)</f>
        <v/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customFormat="false" ht="15" hidden="false" customHeight="false" outlineLevel="0" collapsed="false">
      <c r="A453" s="11" t="str">
        <f aca="false">IF(B453="","",ROW()-1)</f>
        <v/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customFormat="false" ht="15" hidden="false" customHeight="false" outlineLevel="0" collapsed="false">
      <c r="A454" s="11" t="str">
        <f aca="false">IF(B454="","",ROW()-1)</f>
        <v/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customFormat="false" ht="15" hidden="false" customHeight="false" outlineLevel="0" collapsed="false">
      <c r="A455" s="11" t="str">
        <f aca="false">IF(B455="","",ROW()-1)</f>
        <v/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customFormat="false" ht="15" hidden="false" customHeight="false" outlineLevel="0" collapsed="false">
      <c r="A456" s="11" t="str">
        <f aca="false">IF(B456="","",ROW()-1)</f>
        <v/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customFormat="false" ht="15" hidden="false" customHeight="false" outlineLevel="0" collapsed="false">
      <c r="A457" s="11" t="str">
        <f aca="false">IF(B457="","",ROW()-1)</f>
        <v/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customFormat="false" ht="15" hidden="false" customHeight="false" outlineLevel="0" collapsed="false">
      <c r="A458" s="11" t="str">
        <f aca="false">IF(B458="","",ROW()-1)</f>
        <v/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customFormat="false" ht="15" hidden="false" customHeight="false" outlineLevel="0" collapsed="false">
      <c r="A459" s="11" t="str">
        <f aca="false">IF(B459="","",ROW()-1)</f>
        <v/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customFormat="false" ht="15" hidden="false" customHeight="false" outlineLevel="0" collapsed="false">
      <c r="A460" s="11" t="str">
        <f aca="false">IF(B460="","",ROW()-1)</f>
        <v/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customFormat="false" ht="15" hidden="false" customHeight="false" outlineLevel="0" collapsed="false">
      <c r="A461" s="11" t="str">
        <f aca="false">IF(B461="","",ROW()-1)</f>
        <v/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customFormat="false" ht="15" hidden="false" customHeight="false" outlineLevel="0" collapsed="false">
      <c r="A462" s="11" t="str">
        <f aca="false">IF(B462="","",ROW()-1)</f>
        <v/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customFormat="false" ht="15" hidden="false" customHeight="false" outlineLevel="0" collapsed="false">
      <c r="A463" s="11" t="str">
        <f aca="false">IF(B463="","",ROW()-1)</f>
        <v/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customFormat="false" ht="15" hidden="false" customHeight="false" outlineLevel="0" collapsed="false">
      <c r="A464" s="11" t="str">
        <f aca="false">IF(B464="","",ROW()-1)</f>
        <v/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customFormat="false" ht="15" hidden="false" customHeight="false" outlineLevel="0" collapsed="false">
      <c r="A465" s="11" t="str">
        <f aca="false">IF(B465="","",ROW()-1)</f>
        <v/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customFormat="false" ht="15" hidden="false" customHeight="false" outlineLevel="0" collapsed="false">
      <c r="A466" s="11" t="str">
        <f aca="false">IF(B466="","",ROW()-1)</f>
        <v/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customFormat="false" ht="15" hidden="false" customHeight="false" outlineLevel="0" collapsed="false">
      <c r="A467" s="11" t="str">
        <f aca="false">IF(B467="","",ROW()-1)</f>
        <v/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customFormat="false" ht="15" hidden="false" customHeight="false" outlineLevel="0" collapsed="false">
      <c r="A468" s="11" t="str">
        <f aca="false">IF(B468="","",ROW()-1)</f>
        <v/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customFormat="false" ht="15" hidden="false" customHeight="false" outlineLevel="0" collapsed="false">
      <c r="A469" s="11" t="str">
        <f aca="false">IF(B469="","",ROW()-1)</f>
        <v/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customFormat="false" ht="15" hidden="false" customHeight="false" outlineLevel="0" collapsed="false">
      <c r="A470" s="11" t="str">
        <f aca="false">IF(B470="","",ROW()-1)</f>
        <v/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customFormat="false" ht="15" hidden="false" customHeight="false" outlineLevel="0" collapsed="false">
      <c r="A471" s="11" t="str">
        <f aca="false">IF(B471="","",ROW()-1)</f>
        <v/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customFormat="false" ht="15" hidden="false" customHeight="false" outlineLevel="0" collapsed="false">
      <c r="A472" s="11" t="str">
        <f aca="false">IF(B472="","",ROW()-1)</f>
        <v/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customFormat="false" ht="15" hidden="false" customHeight="false" outlineLevel="0" collapsed="false">
      <c r="A473" s="11" t="str">
        <f aca="false">IF(B473="","",ROW()-1)</f>
        <v/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customFormat="false" ht="15" hidden="false" customHeight="false" outlineLevel="0" collapsed="false">
      <c r="A474" s="11" t="str">
        <f aca="false">IF(B474="","",ROW()-1)</f>
        <v/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customFormat="false" ht="15" hidden="false" customHeight="false" outlineLevel="0" collapsed="false">
      <c r="A475" s="11" t="str">
        <f aca="false">IF(B475="","",ROW()-1)</f>
        <v/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customFormat="false" ht="15" hidden="false" customHeight="false" outlineLevel="0" collapsed="false">
      <c r="A476" s="11" t="str">
        <f aca="false">IF(B476="","",ROW()-1)</f>
        <v/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customFormat="false" ht="15" hidden="false" customHeight="false" outlineLevel="0" collapsed="false">
      <c r="A477" s="11" t="str">
        <f aca="false">IF(B477="","",ROW()-1)</f>
        <v/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customFormat="false" ht="15" hidden="false" customHeight="false" outlineLevel="0" collapsed="false">
      <c r="A478" s="11" t="str">
        <f aca="false">IF(B478="","",ROW()-1)</f>
        <v/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customFormat="false" ht="15" hidden="false" customHeight="false" outlineLevel="0" collapsed="false">
      <c r="A479" s="11" t="str">
        <f aca="false">IF(B479="","",ROW()-1)</f>
        <v/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customFormat="false" ht="15" hidden="false" customHeight="false" outlineLevel="0" collapsed="false">
      <c r="A480" s="11" t="str">
        <f aca="false">IF(B480="","",ROW()-1)</f>
        <v/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customFormat="false" ht="15" hidden="false" customHeight="false" outlineLevel="0" collapsed="false">
      <c r="A481" s="11" t="str">
        <f aca="false">IF(B481="","",ROW()-1)</f>
        <v/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customFormat="false" ht="15" hidden="false" customHeight="false" outlineLevel="0" collapsed="false">
      <c r="A482" s="11" t="str">
        <f aca="false">IF(B482="","",ROW()-1)</f>
        <v/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customFormat="false" ht="15" hidden="false" customHeight="false" outlineLevel="0" collapsed="false">
      <c r="A483" s="11" t="str">
        <f aca="false">IF(B483="","",ROW()-1)</f>
        <v/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customFormat="false" ht="15" hidden="false" customHeight="false" outlineLevel="0" collapsed="false">
      <c r="A484" s="11" t="str">
        <f aca="false">IF(B484="","",ROW()-1)</f>
        <v/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customFormat="false" ht="15" hidden="false" customHeight="false" outlineLevel="0" collapsed="false">
      <c r="A485" s="11" t="str">
        <f aca="false">IF(B485="","",ROW()-1)</f>
        <v/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customFormat="false" ht="15" hidden="false" customHeight="false" outlineLevel="0" collapsed="false">
      <c r="A486" s="11" t="str">
        <f aca="false">IF(B486="","",ROW()-1)</f>
        <v/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customFormat="false" ht="15" hidden="false" customHeight="false" outlineLevel="0" collapsed="false">
      <c r="A487" s="11" t="str">
        <f aca="false">IF(B487="","",ROW()-1)</f>
        <v/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customFormat="false" ht="15" hidden="false" customHeight="false" outlineLevel="0" collapsed="false">
      <c r="A488" s="11" t="str">
        <f aca="false">IF(B488="","",ROW()-1)</f>
        <v/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customFormat="false" ht="15" hidden="false" customHeight="false" outlineLevel="0" collapsed="false">
      <c r="A489" s="11" t="str">
        <f aca="false">IF(B489="","",ROW()-1)</f>
        <v/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customFormat="false" ht="15" hidden="false" customHeight="false" outlineLevel="0" collapsed="false">
      <c r="A490" s="11" t="str">
        <f aca="false">IF(B490="","",ROW()-1)</f>
        <v/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customFormat="false" ht="15" hidden="false" customHeight="false" outlineLevel="0" collapsed="false">
      <c r="A491" s="11" t="str">
        <f aca="false">IF(B491="","",ROW()-1)</f>
        <v/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customFormat="false" ht="15" hidden="false" customHeight="false" outlineLevel="0" collapsed="false">
      <c r="A492" s="11" t="str">
        <f aca="false">IF(B492="","",ROW()-1)</f>
        <v/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customFormat="false" ht="15" hidden="false" customHeight="false" outlineLevel="0" collapsed="false">
      <c r="A493" s="11" t="str">
        <f aca="false">IF(B493="","",ROW()-1)</f>
        <v/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customFormat="false" ht="15" hidden="false" customHeight="false" outlineLevel="0" collapsed="false">
      <c r="A494" s="11" t="str">
        <f aca="false">IF(B494="","",ROW()-1)</f>
        <v/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customFormat="false" ht="15" hidden="false" customHeight="false" outlineLevel="0" collapsed="false">
      <c r="A495" s="11" t="str">
        <f aca="false">IF(B495="","",ROW()-1)</f>
        <v/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customFormat="false" ht="15" hidden="false" customHeight="false" outlineLevel="0" collapsed="false">
      <c r="A496" s="11" t="str">
        <f aca="false">IF(B496="","",ROW()-1)</f>
        <v/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customFormat="false" ht="15" hidden="false" customHeight="false" outlineLevel="0" collapsed="false">
      <c r="A497" s="11" t="str">
        <f aca="false">IF(B497="","",ROW()-1)</f>
        <v/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customFormat="false" ht="15" hidden="false" customHeight="false" outlineLevel="0" collapsed="false">
      <c r="A498" s="11" t="str">
        <f aca="false">IF(B498="","",ROW()-1)</f>
        <v/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customFormat="false" ht="15" hidden="false" customHeight="false" outlineLevel="0" collapsed="false">
      <c r="A499" s="11" t="str">
        <f aca="false">IF(B499="","",ROW()-1)</f>
        <v/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customFormat="false" ht="15" hidden="false" customHeight="false" outlineLevel="0" collapsed="false">
      <c r="A500" s="11" t="str">
        <f aca="false">IF(B500="","",ROW()-1)</f>
        <v/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customFormat="false" ht="15" hidden="false" customHeight="false" outlineLevel="0" collapsed="false">
      <c r="A501" s="11" t="str">
        <f aca="false">IF(B501="","",ROW()-1)</f>
        <v/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</sheetData>
  <dataValidations count="11">
    <dataValidation allowBlank="true" error="Pick a value from the drop-down." errorStyle="stop" errorTitle="Choose from the list" operator="between" showDropDown="false" showErrorMessage="true" showInputMessage="false" sqref="C2:C501" type="list">
      <formula1>Lists!$J$2:$J$13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F2:F501" type="list">
      <formula1>Lists!$E$2:$E$4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G2:G501" type="list">
      <formula1>Lists!$D$2:$D$3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H2:H501" type="list">
      <formula1>Lists!$C$2:$C$5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I2:I501" type="list">
      <formula1>Lists!$B$2:$B$10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M2:M501" type="list">
      <formula1>Lists!$A$2:$A$8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S2:S501" type="list">
      <formula1>Lists!$F$2:$F$4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T2:T501" type="list">
      <formula1>Lists!$G$2:$G$8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U2:U501" type="list">
      <formula1>Lists!$H$2:$H$3</formula1>
      <formula2>0</formula2>
    </dataValidation>
    <dataValidation allowBlank="true" error="Pick a value from the drop-down." errorStyle="stop" errorTitle="Choose from the list" operator="between" showDropDown="false" showErrorMessage="true" showInputMessage="false" sqref="V2:V501" type="list">
      <formula1>Lists!$I$2:$I$4</formula1>
      <formula2>0</formula2>
    </dataValidation>
    <dataValidation allowBlank="true" errorStyle="stop" operator="between" showDropDown="false" showErrorMessage="false" showInputMessage="false" sqref="K2:K501" type="list">
      <formula1>Lists!$K$2:$K$128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0" min="2" style="0" width="8"/>
  </cols>
  <sheetData>
    <row r="1" customFormat="false" ht="17.35" hidden="false" customHeight="false" outlineLevel="0" collapsed="false">
      <c r="A1" s="1" t="s">
        <v>80</v>
      </c>
    </row>
    <row r="2" customFormat="false" ht="15" hidden="false" customHeight="false" outlineLevel="0" collapsed="false">
      <c r="A2" s="12" t="s">
        <v>81</v>
      </c>
    </row>
    <row r="4" customFormat="false" ht="15" hidden="false" customHeight="false" outlineLevel="0" collapsed="false">
      <c r="A4" s="13" t="s">
        <v>82</v>
      </c>
      <c r="B4" s="13" t="s">
        <v>16</v>
      </c>
      <c r="C4" s="13" t="s">
        <v>19</v>
      </c>
      <c r="D4" s="13" t="s">
        <v>22</v>
      </c>
      <c r="E4" s="13" t="s">
        <v>25</v>
      </c>
      <c r="F4" s="13" t="s">
        <v>28</v>
      </c>
      <c r="G4" s="13" t="s">
        <v>31</v>
      </c>
      <c r="H4" s="13" t="s">
        <v>34</v>
      </c>
      <c r="I4" s="13" t="s">
        <v>83</v>
      </c>
      <c r="J4" s="13" t="s">
        <v>84</v>
      </c>
    </row>
    <row r="5" customFormat="false" ht="15" hidden="false" customHeight="false" outlineLevel="0" collapsed="false">
      <c r="A5" s="14" t="s">
        <v>71</v>
      </c>
      <c r="B5" s="14" t="n">
        <f aca="false">COUNTIFS(Logbook!$I$2:$I$501,$A5,Logbook!$M$2:$M$501,"O")</f>
        <v>0</v>
      </c>
      <c r="C5" s="14" t="n">
        <f aca="false">COUNTIFS(Logbook!$I$2:$I$501,$A5,Logbook!$M$2:$M$501,"A2")</f>
        <v>0</v>
      </c>
      <c r="D5" s="14" t="n">
        <f aca="false">COUNTIFS(Logbook!$I$2:$I$501,$A5,Logbook!$M$2:$M$501,"A")</f>
        <v>0</v>
      </c>
      <c r="E5" s="14" t="n">
        <f aca="false">COUNTIFS(Logbook!$I$2:$I$501,$A5,Logbook!$M$2:$M$501,"S-TS")</f>
        <v>1</v>
      </c>
      <c r="F5" s="14" t="n">
        <f aca="false">COUNTIFS(Logbook!$I$2:$I$501,$A5,Logbook!$M$2:$M$501,"S-TU")</f>
        <v>0</v>
      </c>
      <c r="G5" s="14" t="n">
        <f aca="false">COUNTIFS(Logbook!$I$2:$I$501,$A5,Logbook!$M$2:$M$501,"P")</f>
        <v>0</v>
      </c>
      <c r="H5" s="14" t="n">
        <f aca="false">COUNTIFS(Logbook!$I$2:$I$501,$A5,Logbook!$M$2:$M$501,"T")</f>
        <v>0</v>
      </c>
      <c r="I5" s="14" t="n">
        <f aca="false">SUM(B5:H5)</f>
        <v>1</v>
      </c>
      <c r="J5" s="11"/>
    </row>
    <row r="6" customFormat="false" ht="15" hidden="false" customHeight="false" outlineLevel="0" collapsed="false">
      <c r="A6" s="14" t="s">
        <v>85</v>
      </c>
      <c r="B6" s="14" t="n">
        <f aca="false">COUNTIFS(Logbook!$I$2:$I$501,$A6,Logbook!$M$2:$M$501,"O")</f>
        <v>0</v>
      </c>
      <c r="C6" s="14" t="n">
        <f aca="false">COUNTIFS(Logbook!$I$2:$I$501,$A6,Logbook!$M$2:$M$501,"A2")</f>
        <v>0</v>
      </c>
      <c r="D6" s="14" t="n">
        <f aca="false">COUNTIFS(Logbook!$I$2:$I$501,$A6,Logbook!$M$2:$M$501,"A")</f>
        <v>0</v>
      </c>
      <c r="E6" s="14" t="n">
        <f aca="false">COUNTIFS(Logbook!$I$2:$I$501,$A6,Logbook!$M$2:$M$501,"S-TS")</f>
        <v>0</v>
      </c>
      <c r="F6" s="14" t="n">
        <f aca="false">COUNTIFS(Logbook!$I$2:$I$501,$A6,Logbook!$M$2:$M$501,"S-TU")</f>
        <v>0</v>
      </c>
      <c r="G6" s="14" t="n">
        <f aca="false">COUNTIFS(Logbook!$I$2:$I$501,$A6,Logbook!$M$2:$M$501,"P")</f>
        <v>0</v>
      </c>
      <c r="H6" s="14" t="n">
        <f aca="false">COUNTIFS(Logbook!$I$2:$I$501,$A6,Logbook!$M$2:$M$501,"T")</f>
        <v>0</v>
      </c>
      <c r="I6" s="14" t="n">
        <f aca="false">SUM(B6:H6)</f>
        <v>0</v>
      </c>
      <c r="J6" s="11"/>
    </row>
    <row r="7" customFormat="false" ht="15" hidden="false" customHeight="false" outlineLevel="0" collapsed="false">
      <c r="A7" s="14" t="s">
        <v>86</v>
      </c>
      <c r="B7" s="14" t="n">
        <f aca="false">COUNTIFS(Logbook!$I$2:$I$501,$A7,Logbook!$M$2:$M$501,"O")</f>
        <v>0</v>
      </c>
      <c r="C7" s="14" t="n">
        <f aca="false">COUNTIFS(Logbook!$I$2:$I$501,$A7,Logbook!$M$2:$M$501,"A2")</f>
        <v>0</v>
      </c>
      <c r="D7" s="14" t="n">
        <f aca="false">COUNTIFS(Logbook!$I$2:$I$501,$A7,Logbook!$M$2:$M$501,"A")</f>
        <v>0</v>
      </c>
      <c r="E7" s="14" t="n">
        <f aca="false">COUNTIFS(Logbook!$I$2:$I$501,$A7,Logbook!$M$2:$M$501,"S-TS")</f>
        <v>0</v>
      </c>
      <c r="F7" s="14" t="n">
        <f aca="false">COUNTIFS(Logbook!$I$2:$I$501,$A7,Logbook!$M$2:$M$501,"S-TU")</f>
        <v>0</v>
      </c>
      <c r="G7" s="14" t="n">
        <f aca="false">COUNTIFS(Logbook!$I$2:$I$501,$A7,Logbook!$M$2:$M$501,"P")</f>
        <v>0</v>
      </c>
      <c r="H7" s="14" t="n">
        <f aca="false">COUNTIFS(Logbook!$I$2:$I$501,$A7,Logbook!$M$2:$M$501,"T")</f>
        <v>0</v>
      </c>
      <c r="I7" s="14" t="n">
        <f aca="false">SUM(B7:H7)</f>
        <v>0</v>
      </c>
      <c r="J7" s="11"/>
    </row>
    <row r="8" customFormat="false" ht="15" hidden="false" customHeight="false" outlineLevel="0" collapsed="false">
      <c r="A8" s="14" t="s">
        <v>87</v>
      </c>
      <c r="B8" s="14" t="n">
        <f aca="false">COUNTIFS(Logbook!$I$2:$I$501,$A8,Logbook!$M$2:$M$501,"O")</f>
        <v>0</v>
      </c>
      <c r="C8" s="14" t="n">
        <f aca="false">COUNTIFS(Logbook!$I$2:$I$501,$A8,Logbook!$M$2:$M$501,"A2")</f>
        <v>0</v>
      </c>
      <c r="D8" s="14" t="n">
        <f aca="false">COUNTIFS(Logbook!$I$2:$I$501,$A8,Logbook!$M$2:$M$501,"A")</f>
        <v>0</v>
      </c>
      <c r="E8" s="14" t="n">
        <f aca="false">COUNTIFS(Logbook!$I$2:$I$501,$A8,Logbook!$M$2:$M$501,"S-TS")</f>
        <v>0</v>
      </c>
      <c r="F8" s="14" t="n">
        <f aca="false">COUNTIFS(Logbook!$I$2:$I$501,$A8,Logbook!$M$2:$M$501,"S-TU")</f>
        <v>0</v>
      </c>
      <c r="G8" s="14" t="n">
        <f aca="false">COUNTIFS(Logbook!$I$2:$I$501,$A8,Logbook!$M$2:$M$501,"P")</f>
        <v>0</v>
      </c>
      <c r="H8" s="14" t="n">
        <f aca="false">COUNTIFS(Logbook!$I$2:$I$501,$A8,Logbook!$M$2:$M$501,"T")</f>
        <v>0</v>
      </c>
      <c r="I8" s="14" t="n">
        <f aca="false">SUM(B8:H8)</f>
        <v>0</v>
      </c>
      <c r="J8" s="11"/>
    </row>
    <row r="9" customFormat="false" ht="15" hidden="false" customHeight="false" outlineLevel="0" collapsed="false">
      <c r="A9" s="14" t="s">
        <v>88</v>
      </c>
      <c r="B9" s="14" t="n">
        <f aca="false">COUNTIFS(Logbook!$I$2:$I$501,$A9,Logbook!$M$2:$M$501,"O")</f>
        <v>0</v>
      </c>
      <c r="C9" s="14" t="n">
        <f aca="false">COUNTIFS(Logbook!$I$2:$I$501,$A9,Logbook!$M$2:$M$501,"A2")</f>
        <v>0</v>
      </c>
      <c r="D9" s="14" t="n">
        <f aca="false">COUNTIFS(Logbook!$I$2:$I$501,$A9,Logbook!$M$2:$M$501,"A")</f>
        <v>0</v>
      </c>
      <c r="E9" s="14" t="n">
        <f aca="false">COUNTIFS(Logbook!$I$2:$I$501,$A9,Logbook!$M$2:$M$501,"S-TS")</f>
        <v>0</v>
      </c>
      <c r="F9" s="14" t="n">
        <f aca="false">COUNTIFS(Logbook!$I$2:$I$501,$A9,Logbook!$M$2:$M$501,"S-TU")</f>
        <v>0</v>
      </c>
      <c r="G9" s="14" t="n">
        <f aca="false">COUNTIFS(Logbook!$I$2:$I$501,$A9,Logbook!$M$2:$M$501,"P")</f>
        <v>0</v>
      </c>
      <c r="H9" s="14" t="n">
        <f aca="false">COUNTIFS(Logbook!$I$2:$I$501,$A9,Logbook!$M$2:$M$501,"T")</f>
        <v>0</v>
      </c>
      <c r="I9" s="14" t="n">
        <f aca="false">SUM(B9:H9)</f>
        <v>0</v>
      </c>
      <c r="J9" s="11"/>
    </row>
    <row r="10" customFormat="false" ht="15" hidden="false" customHeight="false" outlineLevel="0" collapsed="false">
      <c r="A10" s="14" t="s">
        <v>89</v>
      </c>
      <c r="B10" s="14" t="n">
        <f aca="false">COUNTIFS(Logbook!$I$2:$I$501,$A10,Logbook!$M$2:$M$501,"O")</f>
        <v>0</v>
      </c>
      <c r="C10" s="14" t="n">
        <f aca="false">COUNTIFS(Logbook!$I$2:$I$501,$A10,Logbook!$M$2:$M$501,"A2")</f>
        <v>0</v>
      </c>
      <c r="D10" s="14" t="n">
        <f aca="false">COUNTIFS(Logbook!$I$2:$I$501,$A10,Logbook!$M$2:$M$501,"A")</f>
        <v>0</v>
      </c>
      <c r="E10" s="14" t="n">
        <f aca="false">COUNTIFS(Logbook!$I$2:$I$501,$A10,Logbook!$M$2:$M$501,"S-TS")</f>
        <v>0</v>
      </c>
      <c r="F10" s="14" t="n">
        <f aca="false">COUNTIFS(Logbook!$I$2:$I$501,$A10,Logbook!$M$2:$M$501,"S-TU")</f>
        <v>0</v>
      </c>
      <c r="G10" s="14" t="n">
        <f aca="false">COUNTIFS(Logbook!$I$2:$I$501,$A10,Logbook!$M$2:$M$501,"P")</f>
        <v>0</v>
      </c>
      <c r="H10" s="14" t="n">
        <f aca="false">COUNTIFS(Logbook!$I$2:$I$501,$A10,Logbook!$M$2:$M$501,"T")</f>
        <v>0</v>
      </c>
      <c r="I10" s="14" t="n">
        <f aca="false">SUM(B10:H10)</f>
        <v>0</v>
      </c>
      <c r="J10" s="11"/>
    </row>
    <row r="11" customFormat="false" ht="15" hidden="false" customHeight="false" outlineLevel="0" collapsed="false">
      <c r="A11" s="14" t="s">
        <v>90</v>
      </c>
      <c r="B11" s="14" t="n">
        <f aca="false">COUNTIFS(Logbook!$I$2:$I$501,$A11,Logbook!$M$2:$M$501,"O")</f>
        <v>0</v>
      </c>
      <c r="C11" s="14" t="n">
        <f aca="false">COUNTIFS(Logbook!$I$2:$I$501,$A11,Logbook!$M$2:$M$501,"A2")</f>
        <v>0</v>
      </c>
      <c r="D11" s="14" t="n">
        <f aca="false">COUNTIFS(Logbook!$I$2:$I$501,$A11,Logbook!$M$2:$M$501,"A")</f>
        <v>0</v>
      </c>
      <c r="E11" s="14" t="n">
        <f aca="false">COUNTIFS(Logbook!$I$2:$I$501,$A11,Logbook!$M$2:$M$501,"S-TS")</f>
        <v>0</v>
      </c>
      <c r="F11" s="14" t="n">
        <f aca="false">COUNTIFS(Logbook!$I$2:$I$501,$A11,Logbook!$M$2:$M$501,"S-TU")</f>
        <v>0</v>
      </c>
      <c r="G11" s="14" t="n">
        <f aca="false">COUNTIFS(Logbook!$I$2:$I$501,$A11,Logbook!$M$2:$M$501,"P")</f>
        <v>0</v>
      </c>
      <c r="H11" s="14" t="n">
        <f aca="false">COUNTIFS(Logbook!$I$2:$I$501,$A11,Logbook!$M$2:$M$501,"T")</f>
        <v>0</v>
      </c>
      <c r="I11" s="14" t="n">
        <f aca="false">SUM(B11:H11)</f>
        <v>0</v>
      </c>
      <c r="J11" s="11"/>
    </row>
    <row r="12" customFormat="false" ht="15" hidden="false" customHeight="false" outlineLevel="0" collapsed="false">
      <c r="A12" s="14" t="s">
        <v>91</v>
      </c>
      <c r="B12" s="14" t="n">
        <f aca="false">COUNTIFS(Logbook!$I$2:$I$501,$A12,Logbook!$M$2:$M$501,"O")</f>
        <v>0</v>
      </c>
      <c r="C12" s="14" t="n">
        <f aca="false">COUNTIFS(Logbook!$I$2:$I$501,$A12,Logbook!$M$2:$M$501,"A2")</f>
        <v>0</v>
      </c>
      <c r="D12" s="14" t="n">
        <f aca="false">COUNTIFS(Logbook!$I$2:$I$501,$A12,Logbook!$M$2:$M$501,"A")</f>
        <v>0</v>
      </c>
      <c r="E12" s="14" t="n">
        <f aca="false">COUNTIFS(Logbook!$I$2:$I$501,$A12,Logbook!$M$2:$M$501,"S-TS")</f>
        <v>0</v>
      </c>
      <c r="F12" s="14" t="n">
        <f aca="false">COUNTIFS(Logbook!$I$2:$I$501,$A12,Logbook!$M$2:$M$501,"S-TU")</f>
        <v>0</v>
      </c>
      <c r="G12" s="14" t="n">
        <f aca="false">COUNTIFS(Logbook!$I$2:$I$501,$A12,Logbook!$M$2:$M$501,"P")</f>
        <v>0</v>
      </c>
      <c r="H12" s="14" t="n">
        <f aca="false">COUNTIFS(Logbook!$I$2:$I$501,$A12,Logbook!$M$2:$M$501,"T")</f>
        <v>0</v>
      </c>
      <c r="I12" s="14" t="n">
        <f aca="false">SUM(B12:H12)</f>
        <v>0</v>
      </c>
      <c r="J12" s="11"/>
    </row>
    <row r="13" customFormat="false" ht="15" hidden="false" customHeight="false" outlineLevel="0" collapsed="false">
      <c r="A13" s="14" t="s">
        <v>92</v>
      </c>
      <c r="B13" s="14" t="n">
        <f aca="false">COUNTIFS(Logbook!$I$2:$I$501,$A13,Logbook!$M$2:$M$501,"O")</f>
        <v>0</v>
      </c>
      <c r="C13" s="14" t="n">
        <f aca="false">COUNTIFS(Logbook!$I$2:$I$501,$A13,Logbook!$M$2:$M$501,"A2")</f>
        <v>0</v>
      </c>
      <c r="D13" s="14" t="n">
        <f aca="false">COUNTIFS(Logbook!$I$2:$I$501,$A13,Logbook!$M$2:$M$501,"A")</f>
        <v>0</v>
      </c>
      <c r="E13" s="14" t="n">
        <f aca="false">COUNTIFS(Logbook!$I$2:$I$501,$A13,Logbook!$M$2:$M$501,"S-TS")</f>
        <v>0</v>
      </c>
      <c r="F13" s="14" t="n">
        <f aca="false">COUNTIFS(Logbook!$I$2:$I$501,$A13,Logbook!$M$2:$M$501,"S-TU")</f>
        <v>0</v>
      </c>
      <c r="G13" s="14" t="n">
        <f aca="false">COUNTIFS(Logbook!$I$2:$I$501,$A13,Logbook!$M$2:$M$501,"P")</f>
        <v>0</v>
      </c>
      <c r="H13" s="14" t="n">
        <f aca="false">COUNTIFS(Logbook!$I$2:$I$501,$A13,Logbook!$M$2:$M$501,"T")</f>
        <v>0</v>
      </c>
      <c r="I13" s="14" t="n">
        <f aca="false">SUM(B13:H13)</f>
        <v>0</v>
      </c>
      <c r="J13" s="11"/>
    </row>
    <row r="14" customFormat="false" ht="15" hidden="false" customHeight="false" outlineLevel="0" collapsed="false">
      <c r="A14" s="2" t="s">
        <v>93</v>
      </c>
      <c r="B14" s="15" t="n">
        <f aca="false">SUM(B5:B13)</f>
        <v>0</v>
      </c>
      <c r="C14" s="15" t="n">
        <f aca="false">SUM(C5:C13)</f>
        <v>0</v>
      </c>
      <c r="D14" s="15" t="n">
        <f aca="false">SUM(D5:D13)</f>
        <v>0</v>
      </c>
      <c r="E14" s="15" t="n">
        <f aca="false">SUM(E5:E13)</f>
        <v>1</v>
      </c>
      <c r="F14" s="15" t="n">
        <f aca="false">SUM(F5:F13)</f>
        <v>0</v>
      </c>
      <c r="G14" s="15" t="n">
        <f aca="false">SUM(G5:G13)</f>
        <v>0</v>
      </c>
      <c r="H14" s="15" t="n">
        <f aca="false">SUM(H5:H13)</f>
        <v>0</v>
      </c>
      <c r="I14" s="15" t="n">
        <f aca="false">SUM(I5:I13)</f>
        <v>1</v>
      </c>
    </row>
    <row r="17" customFormat="false" ht="15" hidden="false" customHeight="false" outlineLevel="0" collapsed="false">
      <c r="A17" s="13" t="s">
        <v>94</v>
      </c>
      <c r="B17" s="13" t="s">
        <v>16</v>
      </c>
      <c r="C17" s="13" t="s">
        <v>19</v>
      </c>
      <c r="D17" s="13" t="s">
        <v>22</v>
      </c>
      <c r="E17" s="13" t="s">
        <v>25</v>
      </c>
      <c r="F17" s="13" t="s">
        <v>28</v>
      </c>
      <c r="G17" s="13" t="s">
        <v>31</v>
      </c>
      <c r="H17" s="13" t="s">
        <v>34</v>
      </c>
      <c r="I17" s="13" t="s">
        <v>83</v>
      </c>
      <c r="J17" s="13" t="s">
        <v>84</v>
      </c>
    </row>
    <row r="18" customFormat="false" ht="15" hidden="false" customHeight="false" outlineLevel="0" collapsed="false">
      <c r="A18" s="14" t="s">
        <v>95</v>
      </c>
      <c r="B18" s="14" t="n">
        <f aca="false">COUNTIFS(Logbook!$K$2:$K$501,$A18,Logbook!$M$2:$M$501,"O")</f>
        <v>0</v>
      </c>
      <c r="C18" s="14" t="n">
        <f aca="false">COUNTIFS(Logbook!$K$2:$K$501,$A18,Logbook!$M$2:$M$501,"A2")</f>
        <v>0</v>
      </c>
      <c r="D18" s="14" t="n">
        <f aca="false">COUNTIFS(Logbook!$K$2:$K$501,$A18,Logbook!$M$2:$M$501,"A")</f>
        <v>0</v>
      </c>
      <c r="E18" s="14" t="n">
        <f aca="false">COUNTIFS(Logbook!$K$2:$K$501,$A18,Logbook!$M$2:$M$501,"S-TS")</f>
        <v>0</v>
      </c>
      <c r="F18" s="14" t="n">
        <f aca="false">COUNTIFS(Logbook!$K$2:$K$501,$A18,Logbook!$M$2:$M$501,"S-TU")</f>
        <v>0</v>
      </c>
      <c r="G18" s="14" t="n">
        <f aca="false">COUNTIFS(Logbook!$K$2:$K$501,$A18,Logbook!$M$2:$M$501,"P")</f>
        <v>0</v>
      </c>
      <c r="H18" s="14" t="n">
        <f aca="false">COUNTIFS(Logbook!$K$2:$K$501,$A18,Logbook!$M$2:$M$501,"T")</f>
        <v>0</v>
      </c>
      <c r="I18" s="14" t="n">
        <f aca="false">SUM(B18:H18)</f>
        <v>0</v>
      </c>
      <c r="J18" s="11"/>
    </row>
    <row r="19" customFormat="false" ht="15" hidden="false" customHeight="false" outlineLevel="0" collapsed="false">
      <c r="A19" s="14" t="s">
        <v>96</v>
      </c>
      <c r="B19" s="14" t="n">
        <f aca="false">COUNTIFS(Logbook!$K$2:$K$501,$A19,Logbook!$M$2:$M$501,"O")</f>
        <v>0</v>
      </c>
      <c r="C19" s="14" t="n">
        <f aca="false">COUNTIFS(Logbook!$K$2:$K$501,$A19,Logbook!$M$2:$M$501,"A2")</f>
        <v>0</v>
      </c>
      <c r="D19" s="14" t="n">
        <f aca="false">COUNTIFS(Logbook!$K$2:$K$501,$A19,Logbook!$M$2:$M$501,"A")</f>
        <v>0</v>
      </c>
      <c r="E19" s="14" t="n">
        <f aca="false">COUNTIFS(Logbook!$K$2:$K$501,$A19,Logbook!$M$2:$M$501,"S-TS")</f>
        <v>0</v>
      </c>
      <c r="F19" s="14" t="n">
        <f aca="false">COUNTIFS(Logbook!$K$2:$K$501,$A19,Logbook!$M$2:$M$501,"S-TU")</f>
        <v>0</v>
      </c>
      <c r="G19" s="14" t="n">
        <f aca="false">COUNTIFS(Logbook!$K$2:$K$501,$A19,Logbook!$M$2:$M$501,"P")</f>
        <v>0</v>
      </c>
      <c r="H19" s="14" t="n">
        <f aca="false">COUNTIFS(Logbook!$K$2:$K$501,$A19,Logbook!$M$2:$M$501,"T")</f>
        <v>0</v>
      </c>
      <c r="I19" s="14" t="n">
        <f aca="false">SUM(B19:H19)</f>
        <v>0</v>
      </c>
      <c r="J19" s="11"/>
    </row>
    <row r="20" customFormat="false" ht="15" hidden="false" customHeight="false" outlineLevel="0" collapsed="false">
      <c r="A20" s="14" t="s">
        <v>97</v>
      </c>
      <c r="B20" s="14" t="n">
        <f aca="false">COUNTIFS(Logbook!$K$2:$K$501,$A20,Logbook!$M$2:$M$501,"O")</f>
        <v>0</v>
      </c>
      <c r="C20" s="14" t="n">
        <f aca="false">COUNTIFS(Logbook!$K$2:$K$501,$A20,Logbook!$M$2:$M$501,"A2")</f>
        <v>0</v>
      </c>
      <c r="D20" s="14" t="n">
        <f aca="false">COUNTIFS(Logbook!$K$2:$K$501,$A20,Logbook!$M$2:$M$501,"A")</f>
        <v>0</v>
      </c>
      <c r="E20" s="14" t="n">
        <f aca="false">COUNTIFS(Logbook!$K$2:$K$501,$A20,Logbook!$M$2:$M$501,"S-TS")</f>
        <v>0</v>
      </c>
      <c r="F20" s="14" t="n">
        <f aca="false">COUNTIFS(Logbook!$K$2:$K$501,$A20,Logbook!$M$2:$M$501,"S-TU")</f>
        <v>0</v>
      </c>
      <c r="G20" s="14" t="n">
        <f aca="false">COUNTIFS(Logbook!$K$2:$K$501,$A20,Logbook!$M$2:$M$501,"P")</f>
        <v>0</v>
      </c>
      <c r="H20" s="14" t="n">
        <f aca="false">COUNTIFS(Logbook!$K$2:$K$501,$A20,Logbook!$M$2:$M$501,"T")</f>
        <v>0</v>
      </c>
      <c r="I20" s="14" t="n">
        <f aca="false">SUM(B20:H20)</f>
        <v>0</v>
      </c>
      <c r="J20" s="11"/>
    </row>
    <row r="21" customFormat="false" ht="15" hidden="false" customHeight="false" outlineLevel="0" collapsed="false">
      <c r="A21" s="14" t="s">
        <v>98</v>
      </c>
      <c r="B21" s="14" t="n">
        <f aca="false">COUNTIFS(Logbook!$K$2:$K$501,$A21,Logbook!$M$2:$M$501,"O")</f>
        <v>0</v>
      </c>
      <c r="C21" s="14" t="n">
        <f aca="false">COUNTIFS(Logbook!$K$2:$K$501,$A21,Logbook!$M$2:$M$501,"A2")</f>
        <v>0</v>
      </c>
      <c r="D21" s="14" t="n">
        <f aca="false">COUNTIFS(Logbook!$K$2:$K$501,$A21,Logbook!$M$2:$M$501,"A")</f>
        <v>0</v>
      </c>
      <c r="E21" s="14" t="n">
        <f aca="false">COUNTIFS(Logbook!$K$2:$K$501,$A21,Logbook!$M$2:$M$501,"S-TS")</f>
        <v>0</v>
      </c>
      <c r="F21" s="14" t="n">
        <f aca="false">COUNTIFS(Logbook!$K$2:$K$501,$A21,Logbook!$M$2:$M$501,"S-TU")</f>
        <v>0</v>
      </c>
      <c r="G21" s="14" t="n">
        <f aca="false">COUNTIFS(Logbook!$K$2:$K$501,$A21,Logbook!$M$2:$M$501,"P")</f>
        <v>0</v>
      </c>
      <c r="H21" s="14" t="n">
        <f aca="false">COUNTIFS(Logbook!$K$2:$K$501,$A21,Logbook!$M$2:$M$501,"T")</f>
        <v>0</v>
      </c>
      <c r="I21" s="14" t="n">
        <f aca="false">SUM(B21:H21)</f>
        <v>0</v>
      </c>
      <c r="J21" s="11"/>
    </row>
    <row r="22" customFormat="false" ht="15" hidden="false" customHeight="false" outlineLevel="0" collapsed="false">
      <c r="A22" s="14" t="s">
        <v>99</v>
      </c>
      <c r="B22" s="14" t="n">
        <f aca="false">COUNTIFS(Logbook!$K$2:$K$501,$A22,Logbook!$M$2:$M$501,"O")</f>
        <v>0</v>
      </c>
      <c r="C22" s="14" t="n">
        <f aca="false">COUNTIFS(Logbook!$K$2:$K$501,$A22,Logbook!$M$2:$M$501,"A2")</f>
        <v>0</v>
      </c>
      <c r="D22" s="14" t="n">
        <f aca="false">COUNTIFS(Logbook!$K$2:$K$501,$A22,Logbook!$M$2:$M$501,"A")</f>
        <v>0</v>
      </c>
      <c r="E22" s="14" t="n">
        <f aca="false">COUNTIFS(Logbook!$K$2:$K$501,$A22,Logbook!$M$2:$M$501,"S-TS")</f>
        <v>0</v>
      </c>
      <c r="F22" s="14" t="n">
        <f aca="false">COUNTIFS(Logbook!$K$2:$K$501,$A22,Logbook!$M$2:$M$501,"S-TU")</f>
        <v>0</v>
      </c>
      <c r="G22" s="14" t="n">
        <f aca="false">COUNTIFS(Logbook!$K$2:$K$501,$A22,Logbook!$M$2:$M$501,"P")</f>
        <v>0</v>
      </c>
      <c r="H22" s="14" t="n">
        <f aca="false">COUNTIFS(Logbook!$K$2:$K$501,$A22,Logbook!$M$2:$M$501,"T")</f>
        <v>0</v>
      </c>
      <c r="I22" s="14" t="n">
        <f aca="false">SUM(B22:H22)</f>
        <v>0</v>
      </c>
      <c r="J22" s="11"/>
    </row>
    <row r="23" customFormat="false" ht="15" hidden="false" customHeight="false" outlineLevel="0" collapsed="false">
      <c r="A23" s="14" t="s">
        <v>100</v>
      </c>
      <c r="B23" s="14" t="n">
        <f aca="false">COUNTIFS(Logbook!$K$2:$K$501,$A23,Logbook!$M$2:$M$501,"O")</f>
        <v>0</v>
      </c>
      <c r="C23" s="14" t="n">
        <f aca="false">COUNTIFS(Logbook!$K$2:$K$501,$A23,Logbook!$M$2:$M$501,"A2")</f>
        <v>0</v>
      </c>
      <c r="D23" s="14" t="n">
        <f aca="false">COUNTIFS(Logbook!$K$2:$K$501,$A23,Logbook!$M$2:$M$501,"A")</f>
        <v>0</v>
      </c>
      <c r="E23" s="14" t="n">
        <f aca="false">COUNTIFS(Logbook!$K$2:$K$501,$A23,Logbook!$M$2:$M$501,"S-TS")</f>
        <v>0</v>
      </c>
      <c r="F23" s="14" t="n">
        <f aca="false">COUNTIFS(Logbook!$K$2:$K$501,$A23,Logbook!$M$2:$M$501,"S-TU")</f>
        <v>0</v>
      </c>
      <c r="G23" s="14" t="n">
        <f aca="false">COUNTIFS(Logbook!$K$2:$K$501,$A23,Logbook!$M$2:$M$501,"P")</f>
        <v>0</v>
      </c>
      <c r="H23" s="14" t="n">
        <f aca="false">COUNTIFS(Logbook!$K$2:$K$501,$A23,Logbook!$M$2:$M$501,"T")</f>
        <v>0</v>
      </c>
      <c r="I23" s="14" t="n">
        <f aca="false">SUM(B23:H23)</f>
        <v>0</v>
      </c>
      <c r="J23" s="11"/>
    </row>
    <row r="24" customFormat="false" ht="15" hidden="false" customHeight="false" outlineLevel="0" collapsed="false">
      <c r="A24" s="14" t="s">
        <v>101</v>
      </c>
      <c r="B24" s="14" t="n">
        <f aca="false">COUNTIFS(Logbook!$K$2:$K$501,$A24,Logbook!$M$2:$M$501,"O")</f>
        <v>0</v>
      </c>
      <c r="C24" s="14" t="n">
        <f aca="false">COUNTIFS(Logbook!$K$2:$K$501,$A24,Logbook!$M$2:$M$501,"A2")</f>
        <v>0</v>
      </c>
      <c r="D24" s="14" t="n">
        <f aca="false">COUNTIFS(Logbook!$K$2:$K$501,$A24,Logbook!$M$2:$M$501,"A")</f>
        <v>0</v>
      </c>
      <c r="E24" s="14" t="n">
        <f aca="false">COUNTIFS(Logbook!$K$2:$K$501,$A24,Logbook!$M$2:$M$501,"S-TS")</f>
        <v>0</v>
      </c>
      <c r="F24" s="14" t="n">
        <f aca="false">COUNTIFS(Logbook!$K$2:$K$501,$A24,Logbook!$M$2:$M$501,"S-TU")</f>
        <v>0</v>
      </c>
      <c r="G24" s="14" t="n">
        <f aca="false">COUNTIFS(Logbook!$K$2:$K$501,$A24,Logbook!$M$2:$M$501,"P")</f>
        <v>0</v>
      </c>
      <c r="H24" s="14" t="n">
        <f aca="false">COUNTIFS(Logbook!$K$2:$K$501,$A24,Logbook!$M$2:$M$501,"T")</f>
        <v>0</v>
      </c>
      <c r="I24" s="14" t="n">
        <f aca="false">SUM(B24:H24)</f>
        <v>0</v>
      </c>
      <c r="J24" s="11"/>
    </row>
    <row r="25" customFormat="false" ht="15" hidden="false" customHeight="false" outlineLevel="0" collapsed="false">
      <c r="A25" s="14" t="s">
        <v>102</v>
      </c>
      <c r="B25" s="14" t="n">
        <f aca="false">COUNTIFS(Logbook!$K$2:$K$501,$A25,Logbook!$M$2:$M$501,"O")</f>
        <v>0</v>
      </c>
      <c r="C25" s="14" t="n">
        <f aca="false">COUNTIFS(Logbook!$K$2:$K$501,$A25,Logbook!$M$2:$M$501,"A2")</f>
        <v>0</v>
      </c>
      <c r="D25" s="14" t="n">
        <f aca="false">COUNTIFS(Logbook!$K$2:$K$501,$A25,Logbook!$M$2:$M$501,"A")</f>
        <v>0</v>
      </c>
      <c r="E25" s="14" t="n">
        <f aca="false">COUNTIFS(Logbook!$K$2:$K$501,$A25,Logbook!$M$2:$M$501,"S-TS")</f>
        <v>0</v>
      </c>
      <c r="F25" s="14" t="n">
        <f aca="false">COUNTIFS(Logbook!$K$2:$K$501,$A25,Logbook!$M$2:$M$501,"S-TU")</f>
        <v>0</v>
      </c>
      <c r="G25" s="14" t="n">
        <f aca="false">COUNTIFS(Logbook!$K$2:$K$501,$A25,Logbook!$M$2:$M$501,"P")</f>
        <v>0</v>
      </c>
      <c r="H25" s="14" t="n">
        <f aca="false">COUNTIFS(Logbook!$K$2:$K$501,$A25,Logbook!$M$2:$M$501,"T")</f>
        <v>0</v>
      </c>
      <c r="I25" s="14" t="n">
        <f aca="false">SUM(B25:H25)</f>
        <v>0</v>
      </c>
      <c r="J25" s="11"/>
    </row>
    <row r="26" customFormat="false" ht="15" hidden="false" customHeight="false" outlineLevel="0" collapsed="false">
      <c r="A26" s="14" t="s">
        <v>103</v>
      </c>
      <c r="B26" s="14" t="n">
        <f aca="false">COUNTIFS(Logbook!$K$2:$K$501,$A26,Logbook!$M$2:$M$501,"O")</f>
        <v>0</v>
      </c>
      <c r="C26" s="14" t="n">
        <f aca="false">COUNTIFS(Logbook!$K$2:$K$501,$A26,Logbook!$M$2:$M$501,"A2")</f>
        <v>0</v>
      </c>
      <c r="D26" s="14" t="n">
        <f aca="false">COUNTIFS(Logbook!$K$2:$K$501,$A26,Logbook!$M$2:$M$501,"A")</f>
        <v>0</v>
      </c>
      <c r="E26" s="14" t="n">
        <f aca="false">COUNTIFS(Logbook!$K$2:$K$501,$A26,Logbook!$M$2:$M$501,"S-TS")</f>
        <v>0</v>
      </c>
      <c r="F26" s="14" t="n">
        <f aca="false">COUNTIFS(Logbook!$K$2:$K$501,$A26,Logbook!$M$2:$M$501,"S-TU")</f>
        <v>0</v>
      </c>
      <c r="G26" s="14" t="n">
        <f aca="false">COUNTIFS(Logbook!$K$2:$K$501,$A26,Logbook!$M$2:$M$501,"P")</f>
        <v>0</v>
      </c>
      <c r="H26" s="14" t="n">
        <f aca="false">COUNTIFS(Logbook!$K$2:$K$501,$A26,Logbook!$M$2:$M$501,"T")</f>
        <v>0</v>
      </c>
      <c r="I26" s="14" t="n">
        <f aca="false">SUM(B26:H26)</f>
        <v>0</v>
      </c>
      <c r="J26" s="11"/>
    </row>
    <row r="27" customFormat="false" ht="15" hidden="false" customHeight="false" outlineLevel="0" collapsed="false">
      <c r="A27" s="14" t="s">
        <v>104</v>
      </c>
      <c r="B27" s="14" t="n">
        <f aca="false">COUNTIFS(Logbook!$K$2:$K$501,$A27,Logbook!$M$2:$M$501,"O")</f>
        <v>0</v>
      </c>
      <c r="C27" s="14" t="n">
        <f aca="false">COUNTIFS(Logbook!$K$2:$K$501,$A27,Logbook!$M$2:$M$501,"A2")</f>
        <v>0</v>
      </c>
      <c r="D27" s="14" t="n">
        <f aca="false">COUNTIFS(Logbook!$K$2:$K$501,$A27,Logbook!$M$2:$M$501,"A")</f>
        <v>0</v>
      </c>
      <c r="E27" s="14" t="n">
        <f aca="false">COUNTIFS(Logbook!$K$2:$K$501,$A27,Logbook!$M$2:$M$501,"S-TS")</f>
        <v>0</v>
      </c>
      <c r="F27" s="14" t="n">
        <f aca="false">COUNTIFS(Logbook!$K$2:$K$501,$A27,Logbook!$M$2:$M$501,"S-TU")</f>
        <v>0</v>
      </c>
      <c r="G27" s="14" t="n">
        <f aca="false">COUNTIFS(Logbook!$K$2:$K$501,$A27,Logbook!$M$2:$M$501,"P")</f>
        <v>0</v>
      </c>
      <c r="H27" s="14" t="n">
        <f aca="false">COUNTIFS(Logbook!$K$2:$K$501,$A27,Logbook!$M$2:$M$501,"T")</f>
        <v>0</v>
      </c>
      <c r="I27" s="14" t="n">
        <f aca="false">SUM(B27:H27)</f>
        <v>0</v>
      </c>
      <c r="J27" s="11"/>
    </row>
    <row r="28" customFormat="false" ht="15" hidden="false" customHeight="false" outlineLevel="0" collapsed="false">
      <c r="A28" s="14" t="s">
        <v>105</v>
      </c>
      <c r="B28" s="14" t="n">
        <f aca="false">COUNTIFS(Logbook!$K$2:$K$501,$A28,Logbook!$M$2:$M$501,"O")</f>
        <v>0</v>
      </c>
      <c r="C28" s="14" t="n">
        <f aca="false">COUNTIFS(Logbook!$K$2:$K$501,$A28,Logbook!$M$2:$M$501,"A2")</f>
        <v>0</v>
      </c>
      <c r="D28" s="14" t="n">
        <f aca="false">COUNTIFS(Logbook!$K$2:$K$501,$A28,Logbook!$M$2:$M$501,"A")</f>
        <v>0</v>
      </c>
      <c r="E28" s="14" t="n">
        <f aca="false">COUNTIFS(Logbook!$K$2:$K$501,$A28,Logbook!$M$2:$M$501,"S-TS")</f>
        <v>0</v>
      </c>
      <c r="F28" s="14" t="n">
        <f aca="false">COUNTIFS(Logbook!$K$2:$K$501,$A28,Logbook!$M$2:$M$501,"S-TU")</f>
        <v>0</v>
      </c>
      <c r="G28" s="14" t="n">
        <f aca="false">COUNTIFS(Logbook!$K$2:$K$501,$A28,Logbook!$M$2:$M$501,"P")</f>
        <v>0</v>
      </c>
      <c r="H28" s="14" t="n">
        <f aca="false">COUNTIFS(Logbook!$K$2:$K$501,$A28,Logbook!$M$2:$M$501,"T")</f>
        <v>0</v>
      </c>
      <c r="I28" s="14" t="n">
        <f aca="false">SUM(B28:H28)</f>
        <v>0</v>
      </c>
      <c r="J28" s="11"/>
    </row>
    <row r="29" customFormat="false" ht="15" hidden="false" customHeight="false" outlineLevel="0" collapsed="false">
      <c r="A29" s="14" t="s">
        <v>106</v>
      </c>
      <c r="B29" s="14" t="n">
        <f aca="false">COUNTIFS(Logbook!$K$2:$K$501,$A29,Logbook!$M$2:$M$501,"O")</f>
        <v>0</v>
      </c>
      <c r="C29" s="14" t="n">
        <f aca="false">COUNTIFS(Logbook!$K$2:$K$501,$A29,Logbook!$M$2:$M$501,"A2")</f>
        <v>0</v>
      </c>
      <c r="D29" s="14" t="n">
        <f aca="false">COUNTIFS(Logbook!$K$2:$K$501,$A29,Logbook!$M$2:$M$501,"A")</f>
        <v>0</v>
      </c>
      <c r="E29" s="14" t="n">
        <f aca="false">COUNTIFS(Logbook!$K$2:$K$501,$A29,Logbook!$M$2:$M$501,"S-TS")</f>
        <v>0</v>
      </c>
      <c r="F29" s="14" t="n">
        <f aca="false">COUNTIFS(Logbook!$K$2:$K$501,$A29,Logbook!$M$2:$M$501,"S-TU")</f>
        <v>0</v>
      </c>
      <c r="G29" s="14" t="n">
        <f aca="false">COUNTIFS(Logbook!$K$2:$K$501,$A29,Logbook!$M$2:$M$501,"P")</f>
        <v>0</v>
      </c>
      <c r="H29" s="14" t="n">
        <f aca="false">COUNTIFS(Logbook!$K$2:$K$501,$A29,Logbook!$M$2:$M$501,"T")</f>
        <v>0</v>
      </c>
      <c r="I29" s="14" t="n">
        <f aca="false">SUM(B29:H29)</f>
        <v>0</v>
      </c>
      <c r="J29" s="11"/>
    </row>
    <row r="30" customFormat="false" ht="15" hidden="false" customHeight="false" outlineLevel="0" collapsed="false">
      <c r="A30" s="14" t="s">
        <v>107</v>
      </c>
      <c r="B30" s="14" t="n">
        <f aca="false">COUNTIFS(Logbook!$K$2:$K$501,$A30,Logbook!$M$2:$M$501,"O")</f>
        <v>0</v>
      </c>
      <c r="C30" s="14" t="n">
        <f aca="false">COUNTIFS(Logbook!$K$2:$K$501,$A30,Logbook!$M$2:$M$501,"A2")</f>
        <v>0</v>
      </c>
      <c r="D30" s="14" t="n">
        <f aca="false">COUNTIFS(Logbook!$K$2:$K$501,$A30,Logbook!$M$2:$M$501,"A")</f>
        <v>0</v>
      </c>
      <c r="E30" s="14" t="n">
        <f aca="false">COUNTIFS(Logbook!$K$2:$K$501,$A30,Logbook!$M$2:$M$501,"S-TS")</f>
        <v>0</v>
      </c>
      <c r="F30" s="14" t="n">
        <f aca="false">COUNTIFS(Logbook!$K$2:$K$501,$A30,Logbook!$M$2:$M$501,"S-TU")</f>
        <v>0</v>
      </c>
      <c r="G30" s="14" t="n">
        <f aca="false">COUNTIFS(Logbook!$K$2:$K$501,$A30,Logbook!$M$2:$M$501,"P")</f>
        <v>0</v>
      </c>
      <c r="H30" s="14" t="n">
        <f aca="false">COUNTIFS(Logbook!$K$2:$K$501,$A30,Logbook!$M$2:$M$501,"T")</f>
        <v>0</v>
      </c>
      <c r="I30" s="14" t="n">
        <f aca="false">SUM(B30:H30)</f>
        <v>0</v>
      </c>
      <c r="J30" s="11"/>
    </row>
    <row r="31" customFormat="false" ht="15" hidden="false" customHeight="false" outlineLevel="0" collapsed="false">
      <c r="A31" s="14" t="s">
        <v>108</v>
      </c>
      <c r="B31" s="14" t="n">
        <f aca="false">COUNTIFS(Logbook!$K$2:$K$501,$A31,Logbook!$M$2:$M$501,"O")</f>
        <v>0</v>
      </c>
      <c r="C31" s="14" t="n">
        <f aca="false">COUNTIFS(Logbook!$K$2:$K$501,$A31,Logbook!$M$2:$M$501,"A2")</f>
        <v>0</v>
      </c>
      <c r="D31" s="14" t="n">
        <f aca="false">COUNTIFS(Logbook!$K$2:$K$501,$A31,Logbook!$M$2:$M$501,"A")</f>
        <v>0</v>
      </c>
      <c r="E31" s="14" t="n">
        <f aca="false">COUNTIFS(Logbook!$K$2:$K$501,$A31,Logbook!$M$2:$M$501,"S-TS")</f>
        <v>0</v>
      </c>
      <c r="F31" s="14" t="n">
        <f aca="false">COUNTIFS(Logbook!$K$2:$K$501,$A31,Logbook!$M$2:$M$501,"S-TU")</f>
        <v>0</v>
      </c>
      <c r="G31" s="14" t="n">
        <f aca="false">COUNTIFS(Logbook!$K$2:$K$501,$A31,Logbook!$M$2:$M$501,"P")</f>
        <v>0</v>
      </c>
      <c r="H31" s="14" t="n">
        <f aca="false">COUNTIFS(Logbook!$K$2:$K$501,$A31,Logbook!$M$2:$M$501,"T")</f>
        <v>0</v>
      </c>
      <c r="I31" s="14" t="n">
        <f aca="false">SUM(B31:H31)</f>
        <v>0</v>
      </c>
      <c r="J31" s="11"/>
    </row>
    <row r="32" customFormat="false" ht="15" hidden="false" customHeight="false" outlineLevel="0" collapsed="false">
      <c r="A32" s="14" t="s">
        <v>109</v>
      </c>
      <c r="B32" s="14" t="n">
        <f aca="false">COUNTIFS(Logbook!$K$2:$K$501,$A32,Logbook!$M$2:$M$501,"O")</f>
        <v>0</v>
      </c>
      <c r="C32" s="14" t="n">
        <f aca="false">COUNTIFS(Logbook!$K$2:$K$501,$A32,Logbook!$M$2:$M$501,"A2")</f>
        <v>0</v>
      </c>
      <c r="D32" s="14" t="n">
        <f aca="false">COUNTIFS(Logbook!$K$2:$K$501,$A32,Logbook!$M$2:$M$501,"A")</f>
        <v>0</v>
      </c>
      <c r="E32" s="14" t="n">
        <f aca="false">COUNTIFS(Logbook!$K$2:$K$501,$A32,Logbook!$M$2:$M$501,"S-TS")</f>
        <v>0</v>
      </c>
      <c r="F32" s="14" t="n">
        <f aca="false">COUNTIFS(Logbook!$K$2:$K$501,$A32,Logbook!$M$2:$M$501,"S-TU")</f>
        <v>0</v>
      </c>
      <c r="G32" s="14" t="n">
        <f aca="false">COUNTIFS(Logbook!$K$2:$K$501,$A32,Logbook!$M$2:$M$501,"P")</f>
        <v>0</v>
      </c>
      <c r="H32" s="14" t="n">
        <f aca="false">COUNTIFS(Logbook!$K$2:$K$501,$A32,Logbook!$M$2:$M$501,"T")</f>
        <v>0</v>
      </c>
      <c r="I32" s="14" t="n">
        <f aca="false">SUM(B32:H32)</f>
        <v>0</v>
      </c>
      <c r="J32" s="11"/>
    </row>
    <row r="33" customFormat="false" ht="15" hidden="false" customHeight="false" outlineLevel="0" collapsed="false">
      <c r="A33" s="14" t="s">
        <v>73</v>
      </c>
      <c r="B33" s="14" t="n">
        <f aca="false">COUNTIFS(Logbook!$K$2:$K$501,$A33,Logbook!$M$2:$M$501,"O")</f>
        <v>0</v>
      </c>
      <c r="C33" s="14" t="n">
        <f aca="false">COUNTIFS(Logbook!$K$2:$K$501,$A33,Logbook!$M$2:$M$501,"A2")</f>
        <v>0</v>
      </c>
      <c r="D33" s="14" t="n">
        <f aca="false">COUNTIFS(Logbook!$K$2:$K$501,$A33,Logbook!$M$2:$M$501,"A")</f>
        <v>0</v>
      </c>
      <c r="E33" s="14" t="n">
        <f aca="false">COUNTIFS(Logbook!$K$2:$K$501,$A33,Logbook!$M$2:$M$501,"S-TS")</f>
        <v>1</v>
      </c>
      <c r="F33" s="14" t="n">
        <f aca="false">COUNTIFS(Logbook!$K$2:$K$501,$A33,Logbook!$M$2:$M$501,"S-TU")</f>
        <v>0</v>
      </c>
      <c r="G33" s="14" t="n">
        <f aca="false">COUNTIFS(Logbook!$K$2:$K$501,$A33,Logbook!$M$2:$M$501,"P")</f>
        <v>0</v>
      </c>
      <c r="H33" s="14" t="n">
        <f aca="false">COUNTIFS(Logbook!$K$2:$K$501,$A33,Logbook!$M$2:$M$501,"T")</f>
        <v>0</v>
      </c>
      <c r="I33" s="14" t="n">
        <f aca="false">SUM(B33:H33)</f>
        <v>1</v>
      </c>
      <c r="J33" s="11"/>
    </row>
    <row r="34" customFormat="false" ht="15" hidden="false" customHeight="false" outlineLevel="0" collapsed="false">
      <c r="A34" s="14" t="s">
        <v>110</v>
      </c>
      <c r="B34" s="14" t="n">
        <f aca="false">COUNTIFS(Logbook!$K$2:$K$501,$A34,Logbook!$M$2:$M$501,"O")</f>
        <v>0</v>
      </c>
      <c r="C34" s="14" t="n">
        <f aca="false">COUNTIFS(Logbook!$K$2:$K$501,$A34,Logbook!$M$2:$M$501,"A2")</f>
        <v>0</v>
      </c>
      <c r="D34" s="14" t="n">
        <f aca="false">COUNTIFS(Logbook!$K$2:$K$501,$A34,Logbook!$M$2:$M$501,"A")</f>
        <v>0</v>
      </c>
      <c r="E34" s="14" t="n">
        <f aca="false">COUNTIFS(Logbook!$K$2:$K$501,$A34,Logbook!$M$2:$M$501,"S-TS")</f>
        <v>0</v>
      </c>
      <c r="F34" s="14" t="n">
        <f aca="false">COUNTIFS(Logbook!$K$2:$K$501,$A34,Logbook!$M$2:$M$501,"S-TU")</f>
        <v>0</v>
      </c>
      <c r="G34" s="14" t="n">
        <f aca="false">COUNTIFS(Logbook!$K$2:$K$501,$A34,Logbook!$M$2:$M$501,"P")</f>
        <v>0</v>
      </c>
      <c r="H34" s="14" t="n">
        <f aca="false">COUNTIFS(Logbook!$K$2:$K$501,$A34,Logbook!$M$2:$M$501,"T")</f>
        <v>0</v>
      </c>
      <c r="I34" s="14" t="n">
        <f aca="false">SUM(B34:H34)</f>
        <v>0</v>
      </c>
      <c r="J34" s="11"/>
    </row>
    <row r="35" customFormat="false" ht="15" hidden="false" customHeight="false" outlineLevel="0" collapsed="false">
      <c r="A35" s="14" t="s">
        <v>111</v>
      </c>
      <c r="B35" s="14" t="n">
        <f aca="false">COUNTIFS(Logbook!$K$2:$K$501,$A35,Logbook!$M$2:$M$501,"O")</f>
        <v>0</v>
      </c>
      <c r="C35" s="14" t="n">
        <f aca="false">COUNTIFS(Logbook!$K$2:$K$501,$A35,Logbook!$M$2:$M$501,"A2")</f>
        <v>0</v>
      </c>
      <c r="D35" s="14" t="n">
        <f aca="false">COUNTIFS(Logbook!$K$2:$K$501,$A35,Logbook!$M$2:$M$501,"A")</f>
        <v>0</v>
      </c>
      <c r="E35" s="14" t="n">
        <f aca="false">COUNTIFS(Logbook!$K$2:$K$501,$A35,Logbook!$M$2:$M$501,"S-TS")</f>
        <v>0</v>
      </c>
      <c r="F35" s="14" t="n">
        <f aca="false">COUNTIFS(Logbook!$K$2:$K$501,$A35,Logbook!$M$2:$M$501,"S-TU")</f>
        <v>0</v>
      </c>
      <c r="G35" s="14" t="n">
        <f aca="false">COUNTIFS(Logbook!$K$2:$K$501,$A35,Logbook!$M$2:$M$501,"P")</f>
        <v>0</v>
      </c>
      <c r="H35" s="14" t="n">
        <f aca="false">COUNTIFS(Logbook!$K$2:$K$501,$A35,Logbook!$M$2:$M$501,"T")</f>
        <v>0</v>
      </c>
      <c r="I35" s="14" t="n">
        <f aca="false">SUM(B35:H35)</f>
        <v>0</v>
      </c>
      <c r="J35" s="11"/>
    </row>
    <row r="36" customFormat="false" ht="15" hidden="false" customHeight="false" outlineLevel="0" collapsed="false">
      <c r="A36" s="14" t="s">
        <v>112</v>
      </c>
      <c r="B36" s="14" t="n">
        <f aca="false">COUNTIFS(Logbook!$K$2:$K$501,$A36,Logbook!$M$2:$M$501,"O")</f>
        <v>0</v>
      </c>
      <c r="C36" s="14" t="n">
        <f aca="false">COUNTIFS(Logbook!$K$2:$K$501,$A36,Logbook!$M$2:$M$501,"A2")</f>
        <v>0</v>
      </c>
      <c r="D36" s="14" t="n">
        <f aca="false">COUNTIFS(Logbook!$K$2:$K$501,$A36,Logbook!$M$2:$M$501,"A")</f>
        <v>0</v>
      </c>
      <c r="E36" s="14" t="n">
        <f aca="false">COUNTIFS(Logbook!$K$2:$K$501,$A36,Logbook!$M$2:$M$501,"S-TS")</f>
        <v>0</v>
      </c>
      <c r="F36" s="14" t="n">
        <f aca="false">COUNTIFS(Logbook!$K$2:$K$501,$A36,Logbook!$M$2:$M$501,"S-TU")</f>
        <v>0</v>
      </c>
      <c r="G36" s="14" t="n">
        <f aca="false">COUNTIFS(Logbook!$K$2:$K$501,$A36,Logbook!$M$2:$M$501,"P")</f>
        <v>0</v>
      </c>
      <c r="H36" s="14" t="n">
        <f aca="false">COUNTIFS(Logbook!$K$2:$K$501,$A36,Logbook!$M$2:$M$501,"T")</f>
        <v>0</v>
      </c>
      <c r="I36" s="14" t="n">
        <f aca="false">SUM(B36:H36)</f>
        <v>0</v>
      </c>
      <c r="J36" s="11"/>
    </row>
    <row r="37" customFormat="false" ht="15" hidden="false" customHeight="false" outlineLevel="0" collapsed="false">
      <c r="A37" s="14" t="s">
        <v>113</v>
      </c>
      <c r="B37" s="14" t="n">
        <f aca="false">COUNTIFS(Logbook!$K$2:$K$501,$A37,Logbook!$M$2:$M$501,"O")</f>
        <v>0</v>
      </c>
      <c r="C37" s="14" t="n">
        <f aca="false">COUNTIFS(Logbook!$K$2:$K$501,$A37,Logbook!$M$2:$M$501,"A2")</f>
        <v>0</v>
      </c>
      <c r="D37" s="14" t="n">
        <f aca="false">COUNTIFS(Logbook!$K$2:$K$501,$A37,Logbook!$M$2:$M$501,"A")</f>
        <v>0</v>
      </c>
      <c r="E37" s="14" t="n">
        <f aca="false">COUNTIFS(Logbook!$K$2:$K$501,$A37,Logbook!$M$2:$M$501,"S-TS")</f>
        <v>0</v>
      </c>
      <c r="F37" s="14" t="n">
        <f aca="false">COUNTIFS(Logbook!$K$2:$K$501,$A37,Logbook!$M$2:$M$501,"S-TU")</f>
        <v>0</v>
      </c>
      <c r="G37" s="14" t="n">
        <f aca="false">COUNTIFS(Logbook!$K$2:$K$501,$A37,Logbook!$M$2:$M$501,"P")</f>
        <v>0</v>
      </c>
      <c r="H37" s="14" t="n">
        <f aca="false">COUNTIFS(Logbook!$K$2:$K$501,$A37,Logbook!$M$2:$M$501,"T")</f>
        <v>0</v>
      </c>
      <c r="I37" s="14" t="n">
        <f aca="false">SUM(B37:H37)</f>
        <v>0</v>
      </c>
      <c r="J37" s="11"/>
    </row>
    <row r="38" customFormat="false" ht="15" hidden="false" customHeight="false" outlineLevel="0" collapsed="false">
      <c r="A38" s="14" t="s">
        <v>114</v>
      </c>
      <c r="B38" s="14" t="n">
        <f aca="false">COUNTIFS(Logbook!$K$2:$K$501,$A38,Logbook!$M$2:$M$501,"O")</f>
        <v>0</v>
      </c>
      <c r="C38" s="14" t="n">
        <f aca="false">COUNTIFS(Logbook!$K$2:$K$501,$A38,Logbook!$M$2:$M$501,"A2")</f>
        <v>0</v>
      </c>
      <c r="D38" s="14" t="n">
        <f aca="false">COUNTIFS(Logbook!$K$2:$K$501,$A38,Logbook!$M$2:$M$501,"A")</f>
        <v>0</v>
      </c>
      <c r="E38" s="14" t="n">
        <f aca="false">COUNTIFS(Logbook!$K$2:$K$501,$A38,Logbook!$M$2:$M$501,"S-TS")</f>
        <v>0</v>
      </c>
      <c r="F38" s="14" t="n">
        <f aca="false">COUNTIFS(Logbook!$K$2:$K$501,$A38,Logbook!$M$2:$M$501,"S-TU")</f>
        <v>0</v>
      </c>
      <c r="G38" s="14" t="n">
        <f aca="false">COUNTIFS(Logbook!$K$2:$K$501,$A38,Logbook!$M$2:$M$501,"P")</f>
        <v>0</v>
      </c>
      <c r="H38" s="14" t="n">
        <f aca="false">COUNTIFS(Logbook!$K$2:$K$501,$A38,Logbook!$M$2:$M$501,"T")</f>
        <v>0</v>
      </c>
      <c r="I38" s="14" t="n">
        <f aca="false">SUM(B38:H38)</f>
        <v>0</v>
      </c>
      <c r="J38" s="11"/>
    </row>
    <row r="39" customFormat="false" ht="15" hidden="false" customHeight="false" outlineLevel="0" collapsed="false">
      <c r="A39" s="14" t="s">
        <v>115</v>
      </c>
      <c r="B39" s="14" t="n">
        <f aca="false">COUNTIFS(Logbook!$K$2:$K$501,$A39,Logbook!$M$2:$M$501,"O")</f>
        <v>0</v>
      </c>
      <c r="C39" s="14" t="n">
        <f aca="false">COUNTIFS(Logbook!$K$2:$K$501,$A39,Logbook!$M$2:$M$501,"A2")</f>
        <v>0</v>
      </c>
      <c r="D39" s="14" t="n">
        <f aca="false">COUNTIFS(Logbook!$K$2:$K$501,$A39,Logbook!$M$2:$M$501,"A")</f>
        <v>0</v>
      </c>
      <c r="E39" s="14" t="n">
        <f aca="false">COUNTIFS(Logbook!$K$2:$K$501,$A39,Logbook!$M$2:$M$501,"S-TS")</f>
        <v>0</v>
      </c>
      <c r="F39" s="14" t="n">
        <f aca="false">COUNTIFS(Logbook!$K$2:$K$501,$A39,Logbook!$M$2:$M$501,"S-TU")</f>
        <v>0</v>
      </c>
      <c r="G39" s="14" t="n">
        <f aca="false">COUNTIFS(Logbook!$K$2:$K$501,$A39,Logbook!$M$2:$M$501,"P")</f>
        <v>0</v>
      </c>
      <c r="H39" s="14" t="n">
        <f aca="false">COUNTIFS(Logbook!$K$2:$K$501,$A39,Logbook!$M$2:$M$501,"T")</f>
        <v>0</v>
      </c>
      <c r="I39" s="14" t="n">
        <f aca="false">SUM(B39:H39)</f>
        <v>0</v>
      </c>
      <c r="J39" s="11"/>
    </row>
    <row r="40" customFormat="false" ht="15" hidden="false" customHeight="false" outlineLevel="0" collapsed="false">
      <c r="A40" s="14" t="s">
        <v>116</v>
      </c>
      <c r="B40" s="14" t="n">
        <f aca="false">COUNTIFS(Logbook!$K$2:$K$501,$A40,Logbook!$M$2:$M$501,"O")</f>
        <v>0</v>
      </c>
      <c r="C40" s="14" t="n">
        <f aca="false">COUNTIFS(Logbook!$K$2:$K$501,$A40,Logbook!$M$2:$M$501,"A2")</f>
        <v>0</v>
      </c>
      <c r="D40" s="14" t="n">
        <f aca="false">COUNTIFS(Logbook!$K$2:$K$501,$A40,Logbook!$M$2:$M$501,"A")</f>
        <v>0</v>
      </c>
      <c r="E40" s="14" t="n">
        <f aca="false">COUNTIFS(Logbook!$K$2:$K$501,$A40,Logbook!$M$2:$M$501,"S-TS")</f>
        <v>0</v>
      </c>
      <c r="F40" s="14" t="n">
        <f aca="false">COUNTIFS(Logbook!$K$2:$K$501,$A40,Logbook!$M$2:$M$501,"S-TU")</f>
        <v>0</v>
      </c>
      <c r="G40" s="14" t="n">
        <f aca="false">COUNTIFS(Logbook!$K$2:$K$501,$A40,Logbook!$M$2:$M$501,"P")</f>
        <v>0</v>
      </c>
      <c r="H40" s="14" t="n">
        <f aca="false">COUNTIFS(Logbook!$K$2:$K$501,$A40,Logbook!$M$2:$M$501,"T")</f>
        <v>0</v>
      </c>
      <c r="I40" s="14" t="n">
        <f aca="false">SUM(B40:H40)</f>
        <v>0</v>
      </c>
      <c r="J40" s="11"/>
    </row>
    <row r="41" customFormat="false" ht="15" hidden="false" customHeight="false" outlineLevel="0" collapsed="false">
      <c r="A41" s="14" t="s">
        <v>117</v>
      </c>
      <c r="B41" s="14" t="n">
        <f aca="false">COUNTIFS(Logbook!$K$2:$K$501,$A41,Logbook!$M$2:$M$501,"O")</f>
        <v>0</v>
      </c>
      <c r="C41" s="14" t="n">
        <f aca="false">COUNTIFS(Logbook!$K$2:$K$501,$A41,Logbook!$M$2:$M$501,"A2")</f>
        <v>0</v>
      </c>
      <c r="D41" s="14" t="n">
        <f aca="false">COUNTIFS(Logbook!$K$2:$K$501,$A41,Logbook!$M$2:$M$501,"A")</f>
        <v>0</v>
      </c>
      <c r="E41" s="14" t="n">
        <f aca="false">COUNTIFS(Logbook!$K$2:$K$501,$A41,Logbook!$M$2:$M$501,"S-TS")</f>
        <v>0</v>
      </c>
      <c r="F41" s="14" t="n">
        <f aca="false">COUNTIFS(Logbook!$K$2:$K$501,$A41,Logbook!$M$2:$M$501,"S-TU")</f>
        <v>0</v>
      </c>
      <c r="G41" s="14" t="n">
        <f aca="false">COUNTIFS(Logbook!$K$2:$K$501,$A41,Logbook!$M$2:$M$501,"P")</f>
        <v>0</v>
      </c>
      <c r="H41" s="14" t="n">
        <f aca="false">COUNTIFS(Logbook!$K$2:$K$501,$A41,Logbook!$M$2:$M$501,"T")</f>
        <v>0</v>
      </c>
      <c r="I41" s="14" t="n">
        <f aca="false">SUM(B41:H41)</f>
        <v>0</v>
      </c>
      <c r="J41" s="11"/>
    </row>
    <row r="42" customFormat="false" ht="15" hidden="false" customHeight="false" outlineLevel="0" collapsed="false">
      <c r="A42" s="14" t="s">
        <v>118</v>
      </c>
      <c r="B42" s="14" t="n">
        <f aca="false">COUNTIFS(Logbook!$K$2:$K$501,$A42,Logbook!$M$2:$M$501,"O")</f>
        <v>0</v>
      </c>
      <c r="C42" s="14" t="n">
        <f aca="false">COUNTIFS(Logbook!$K$2:$K$501,$A42,Logbook!$M$2:$M$501,"A2")</f>
        <v>0</v>
      </c>
      <c r="D42" s="14" t="n">
        <f aca="false">COUNTIFS(Logbook!$K$2:$K$501,$A42,Logbook!$M$2:$M$501,"A")</f>
        <v>0</v>
      </c>
      <c r="E42" s="14" t="n">
        <f aca="false">COUNTIFS(Logbook!$K$2:$K$501,$A42,Logbook!$M$2:$M$501,"S-TS")</f>
        <v>0</v>
      </c>
      <c r="F42" s="14" t="n">
        <f aca="false">COUNTIFS(Logbook!$K$2:$K$501,$A42,Logbook!$M$2:$M$501,"S-TU")</f>
        <v>0</v>
      </c>
      <c r="G42" s="14" t="n">
        <f aca="false">COUNTIFS(Logbook!$K$2:$K$501,$A42,Logbook!$M$2:$M$501,"P")</f>
        <v>0</v>
      </c>
      <c r="H42" s="14" t="n">
        <f aca="false">COUNTIFS(Logbook!$K$2:$K$501,$A42,Logbook!$M$2:$M$501,"T")</f>
        <v>0</v>
      </c>
      <c r="I42" s="14" t="n">
        <f aca="false">SUM(B42:H42)</f>
        <v>0</v>
      </c>
      <c r="J42" s="11"/>
    </row>
    <row r="43" customFormat="false" ht="15" hidden="false" customHeight="false" outlineLevel="0" collapsed="false">
      <c r="A43" s="14" t="s">
        <v>119</v>
      </c>
      <c r="B43" s="14" t="n">
        <f aca="false">COUNTIFS(Logbook!$K$2:$K$501,$A43,Logbook!$M$2:$M$501,"O")</f>
        <v>0</v>
      </c>
      <c r="C43" s="14" t="n">
        <f aca="false">COUNTIFS(Logbook!$K$2:$K$501,$A43,Logbook!$M$2:$M$501,"A2")</f>
        <v>0</v>
      </c>
      <c r="D43" s="14" t="n">
        <f aca="false">COUNTIFS(Logbook!$K$2:$K$501,$A43,Logbook!$M$2:$M$501,"A")</f>
        <v>0</v>
      </c>
      <c r="E43" s="14" t="n">
        <f aca="false">COUNTIFS(Logbook!$K$2:$K$501,$A43,Logbook!$M$2:$M$501,"S-TS")</f>
        <v>0</v>
      </c>
      <c r="F43" s="14" t="n">
        <f aca="false">COUNTIFS(Logbook!$K$2:$K$501,$A43,Logbook!$M$2:$M$501,"S-TU")</f>
        <v>0</v>
      </c>
      <c r="G43" s="14" t="n">
        <f aca="false">COUNTIFS(Logbook!$K$2:$K$501,$A43,Logbook!$M$2:$M$501,"P")</f>
        <v>0</v>
      </c>
      <c r="H43" s="14" t="n">
        <f aca="false">COUNTIFS(Logbook!$K$2:$K$501,$A43,Logbook!$M$2:$M$501,"T")</f>
        <v>0</v>
      </c>
      <c r="I43" s="14" t="n">
        <f aca="false">SUM(B43:H43)</f>
        <v>0</v>
      </c>
      <c r="J43" s="11"/>
    </row>
    <row r="44" customFormat="false" ht="15" hidden="false" customHeight="false" outlineLevel="0" collapsed="false">
      <c r="A44" s="14" t="s">
        <v>120</v>
      </c>
      <c r="B44" s="14" t="n">
        <f aca="false">COUNTIFS(Logbook!$K$2:$K$501,$A44,Logbook!$M$2:$M$501,"O")</f>
        <v>0</v>
      </c>
      <c r="C44" s="14" t="n">
        <f aca="false">COUNTIFS(Logbook!$K$2:$K$501,$A44,Logbook!$M$2:$M$501,"A2")</f>
        <v>0</v>
      </c>
      <c r="D44" s="14" t="n">
        <f aca="false">COUNTIFS(Logbook!$K$2:$K$501,$A44,Logbook!$M$2:$M$501,"A")</f>
        <v>0</v>
      </c>
      <c r="E44" s="14" t="n">
        <f aca="false">COUNTIFS(Logbook!$K$2:$K$501,$A44,Logbook!$M$2:$M$501,"S-TS")</f>
        <v>0</v>
      </c>
      <c r="F44" s="14" t="n">
        <f aca="false">COUNTIFS(Logbook!$K$2:$K$501,$A44,Logbook!$M$2:$M$501,"S-TU")</f>
        <v>0</v>
      </c>
      <c r="G44" s="14" t="n">
        <f aca="false">COUNTIFS(Logbook!$K$2:$K$501,$A44,Logbook!$M$2:$M$501,"P")</f>
        <v>0</v>
      </c>
      <c r="H44" s="14" t="n">
        <f aca="false">COUNTIFS(Logbook!$K$2:$K$501,$A44,Logbook!$M$2:$M$501,"T")</f>
        <v>0</v>
      </c>
      <c r="I44" s="14" t="n">
        <f aca="false">SUM(B44:H44)</f>
        <v>0</v>
      </c>
      <c r="J44" s="11"/>
    </row>
    <row r="45" customFormat="false" ht="15" hidden="false" customHeight="false" outlineLevel="0" collapsed="false">
      <c r="A45" s="14" t="s">
        <v>121</v>
      </c>
      <c r="B45" s="14" t="n">
        <f aca="false">COUNTIFS(Logbook!$K$2:$K$501,$A45,Logbook!$M$2:$M$501,"O")</f>
        <v>0</v>
      </c>
      <c r="C45" s="14" t="n">
        <f aca="false">COUNTIFS(Logbook!$K$2:$K$501,$A45,Logbook!$M$2:$M$501,"A2")</f>
        <v>0</v>
      </c>
      <c r="D45" s="14" t="n">
        <f aca="false">COUNTIFS(Logbook!$K$2:$K$501,$A45,Logbook!$M$2:$M$501,"A")</f>
        <v>0</v>
      </c>
      <c r="E45" s="14" t="n">
        <f aca="false">COUNTIFS(Logbook!$K$2:$K$501,$A45,Logbook!$M$2:$M$501,"S-TS")</f>
        <v>0</v>
      </c>
      <c r="F45" s="14" t="n">
        <f aca="false">COUNTIFS(Logbook!$K$2:$K$501,$A45,Logbook!$M$2:$M$501,"S-TU")</f>
        <v>0</v>
      </c>
      <c r="G45" s="14" t="n">
        <f aca="false">COUNTIFS(Logbook!$K$2:$K$501,$A45,Logbook!$M$2:$M$501,"P")</f>
        <v>0</v>
      </c>
      <c r="H45" s="14" t="n">
        <f aca="false">COUNTIFS(Logbook!$K$2:$K$501,$A45,Logbook!$M$2:$M$501,"T")</f>
        <v>0</v>
      </c>
      <c r="I45" s="14" t="n">
        <f aca="false">SUM(B45:H45)</f>
        <v>0</v>
      </c>
      <c r="J45" s="11"/>
    </row>
    <row r="46" customFormat="false" ht="15" hidden="false" customHeight="false" outlineLevel="0" collapsed="false">
      <c r="A46" s="14" t="s">
        <v>122</v>
      </c>
      <c r="B46" s="14" t="n">
        <f aca="false">COUNTIFS(Logbook!$K$2:$K$501,$A46,Logbook!$M$2:$M$501,"O")</f>
        <v>0</v>
      </c>
      <c r="C46" s="14" t="n">
        <f aca="false">COUNTIFS(Logbook!$K$2:$K$501,$A46,Logbook!$M$2:$M$501,"A2")</f>
        <v>0</v>
      </c>
      <c r="D46" s="14" t="n">
        <f aca="false">COUNTIFS(Logbook!$K$2:$K$501,$A46,Logbook!$M$2:$M$501,"A")</f>
        <v>0</v>
      </c>
      <c r="E46" s="14" t="n">
        <f aca="false">COUNTIFS(Logbook!$K$2:$K$501,$A46,Logbook!$M$2:$M$501,"S-TS")</f>
        <v>0</v>
      </c>
      <c r="F46" s="14" t="n">
        <f aca="false">COUNTIFS(Logbook!$K$2:$K$501,$A46,Logbook!$M$2:$M$501,"S-TU")</f>
        <v>0</v>
      </c>
      <c r="G46" s="14" t="n">
        <f aca="false">COUNTIFS(Logbook!$K$2:$K$501,$A46,Logbook!$M$2:$M$501,"P")</f>
        <v>0</v>
      </c>
      <c r="H46" s="14" t="n">
        <f aca="false">COUNTIFS(Logbook!$K$2:$K$501,$A46,Logbook!$M$2:$M$501,"T")</f>
        <v>0</v>
      </c>
      <c r="I46" s="14" t="n">
        <f aca="false">SUM(B46:H46)</f>
        <v>0</v>
      </c>
      <c r="J46" s="11"/>
    </row>
    <row r="47" customFormat="false" ht="15" hidden="false" customHeight="false" outlineLevel="0" collapsed="false">
      <c r="A47" s="14" t="s">
        <v>123</v>
      </c>
      <c r="B47" s="14" t="n">
        <f aca="false">COUNTIFS(Logbook!$K$2:$K$501,$A47,Logbook!$M$2:$M$501,"O")</f>
        <v>0</v>
      </c>
      <c r="C47" s="14" t="n">
        <f aca="false">COUNTIFS(Logbook!$K$2:$K$501,$A47,Logbook!$M$2:$M$501,"A2")</f>
        <v>0</v>
      </c>
      <c r="D47" s="14" t="n">
        <f aca="false">COUNTIFS(Logbook!$K$2:$K$501,$A47,Logbook!$M$2:$M$501,"A")</f>
        <v>0</v>
      </c>
      <c r="E47" s="14" t="n">
        <f aca="false">COUNTIFS(Logbook!$K$2:$K$501,$A47,Logbook!$M$2:$M$501,"S-TS")</f>
        <v>0</v>
      </c>
      <c r="F47" s="14" t="n">
        <f aca="false">COUNTIFS(Logbook!$K$2:$K$501,$A47,Logbook!$M$2:$M$501,"S-TU")</f>
        <v>0</v>
      </c>
      <c r="G47" s="14" t="n">
        <f aca="false">COUNTIFS(Logbook!$K$2:$K$501,$A47,Logbook!$M$2:$M$501,"P")</f>
        <v>0</v>
      </c>
      <c r="H47" s="14" t="n">
        <f aca="false">COUNTIFS(Logbook!$K$2:$K$501,$A47,Logbook!$M$2:$M$501,"T")</f>
        <v>0</v>
      </c>
      <c r="I47" s="14" t="n">
        <f aca="false">SUM(B47:H47)</f>
        <v>0</v>
      </c>
      <c r="J47" s="11"/>
    </row>
    <row r="48" customFormat="false" ht="15" hidden="false" customHeight="false" outlineLevel="0" collapsed="false">
      <c r="A48" s="14" t="s">
        <v>124</v>
      </c>
      <c r="B48" s="14" t="n">
        <f aca="false">COUNTIFS(Logbook!$K$2:$K$501,$A48,Logbook!$M$2:$M$501,"O")</f>
        <v>0</v>
      </c>
      <c r="C48" s="14" t="n">
        <f aca="false">COUNTIFS(Logbook!$K$2:$K$501,$A48,Logbook!$M$2:$M$501,"A2")</f>
        <v>0</v>
      </c>
      <c r="D48" s="14" t="n">
        <f aca="false">COUNTIFS(Logbook!$K$2:$K$501,$A48,Logbook!$M$2:$M$501,"A")</f>
        <v>0</v>
      </c>
      <c r="E48" s="14" t="n">
        <f aca="false">COUNTIFS(Logbook!$K$2:$K$501,$A48,Logbook!$M$2:$M$501,"S-TS")</f>
        <v>0</v>
      </c>
      <c r="F48" s="14" t="n">
        <f aca="false">COUNTIFS(Logbook!$K$2:$K$501,$A48,Logbook!$M$2:$M$501,"S-TU")</f>
        <v>0</v>
      </c>
      <c r="G48" s="14" t="n">
        <f aca="false">COUNTIFS(Logbook!$K$2:$K$501,$A48,Logbook!$M$2:$M$501,"P")</f>
        <v>0</v>
      </c>
      <c r="H48" s="14" t="n">
        <f aca="false">COUNTIFS(Logbook!$K$2:$K$501,$A48,Logbook!$M$2:$M$501,"T")</f>
        <v>0</v>
      </c>
      <c r="I48" s="14" t="n">
        <f aca="false">SUM(B48:H48)</f>
        <v>0</v>
      </c>
      <c r="J48" s="11"/>
    </row>
    <row r="49" customFormat="false" ht="15" hidden="false" customHeight="false" outlineLevel="0" collapsed="false">
      <c r="A49" s="14" t="s">
        <v>125</v>
      </c>
      <c r="B49" s="14" t="n">
        <f aca="false">COUNTIFS(Logbook!$K$2:$K$501,$A49,Logbook!$M$2:$M$501,"O")</f>
        <v>0</v>
      </c>
      <c r="C49" s="14" t="n">
        <f aca="false">COUNTIFS(Logbook!$K$2:$K$501,$A49,Logbook!$M$2:$M$501,"A2")</f>
        <v>0</v>
      </c>
      <c r="D49" s="14" t="n">
        <f aca="false">COUNTIFS(Logbook!$K$2:$K$501,$A49,Logbook!$M$2:$M$501,"A")</f>
        <v>0</v>
      </c>
      <c r="E49" s="14" t="n">
        <f aca="false">COUNTIFS(Logbook!$K$2:$K$501,$A49,Logbook!$M$2:$M$501,"S-TS")</f>
        <v>0</v>
      </c>
      <c r="F49" s="14" t="n">
        <f aca="false">COUNTIFS(Logbook!$K$2:$K$501,$A49,Logbook!$M$2:$M$501,"S-TU")</f>
        <v>0</v>
      </c>
      <c r="G49" s="14" t="n">
        <f aca="false">COUNTIFS(Logbook!$K$2:$K$501,$A49,Logbook!$M$2:$M$501,"P")</f>
        <v>0</v>
      </c>
      <c r="H49" s="14" t="n">
        <f aca="false">COUNTIFS(Logbook!$K$2:$K$501,$A49,Logbook!$M$2:$M$501,"T")</f>
        <v>0</v>
      </c>
      <c r="I49" s="14" t="n">
        <f aca="false">SUM(B49:H49)</f>
        <v>0</v>
      </c>
      <c r="J49" s="11"/>
    </row>
    <row r="50" customFormat="false" ht="15" hidden="false" customHeight="false" outlineLevel="0" collapsed="false">
      <c r="A50" s="14" t="s">
        <v>126</v>
      </c>
      <c r="B50" s="14" t="n">
        <f aca="false">COUNTIFS(Logbook!$K$2:$K$501,$A50,Logbook!$M$2:$M$501,"O")</f>
        <v>0</v>
      </c>
      <c r="C50" s="14" t="n">
        <f aca="false">COUNTIFS(Logbook!$K$2:$K$501,$A50,Logbook!$M$2:$M$501,"A2")</f>
        <v>0</v>
      </c>
      <c r="D50" s="14" t="n">
        <f aca="false">COUNTIFS(Logbook!$K$2:$K$501,$A50,Logbook!$M$2:$M$501,"A")</f>
        <v>0</v>
      </c>
      <c r="E50" s="14" t="n">
        <f aca="false">COUNTIFS(Logbook!$K$2:$K$501,$A50,Logbook!$M$2:$M$501,"S-TS")</f>
        <v>0</v>
      </c>
      <c r="F50" s="14" t="n">
        <f aca="false">COUNTIFS(Logbook!$K$2:$K$501,$A50,Logbook!$M$2:$M$501,"S-TU")</f>
        <v>0</v>
      </c>
      <c r="G50" s="14" t="n">
        <f aca="false">COUNTIFS(Logbook!$K$2:$K$501,$A50,Logbook!$M$2:$M$501,"P")</f>
        <v>0</v>
      </c>
      <c r="H50" s="14" t="n">
        <f aca="false">COUNTIFS(Logbook!$K$2:$K$501,$A50,Logbook!$M$2:$M$501,"T")</f>
        <v>0</v>
      </c>
      <c r="I50" s="14" t="n">
        <f aca="false">SUM(B50:H50)</f>
        <v>0</v>
      </c>
      <c r="J50" s="11"/>
    </row>
    <row r="51" customFormat="false" ht="15" hidden="false" customHeight="false" outlineLevel="0" collapsed="false">
      <c r="A51" s="14" t="s">
        <v>127</v>
      </c>
      <c r="B51" s="14" t="n">
        <f aca="false">COUNTIFS(Logbook!$K$2:$K$501,$A51,Logbook!$M$2:$M$501,"O")</f>
        <v>0</v>
      </c>
      <c r="C51" s="14" t="n">
        <f aca="false">COUNTIFS(Logbook!$K$2:$K$501,$A51,Logbook!$M$2:$M$501,"A2")</f>
        <v>0</v>
      </c>
      <c r="D51" s="14" t="n">
        <f aca="false">COUNTIFS(Logbook!$K$2:$K$501,$A51,Logbook!$M$2:$M$501,"A")</f>
        <v>0</v>
      </c>
      <c r="E51" s="14" t="n">
        <f aca="false">COUNTIFS(Logbook!$K$2:$K$501,$A51,Logbook!$M$2:$M$501,"S-TS")</f>
        <v>0</v>
      </c>
      <c r="F51" s="14" t="n">
        <f aca="false">COUNTIFS(Logbook!$K$2:$K$501,$A51,Logbook!$M$2:$M$501,"S-TU")</f>
        <v>0</v>
      </c>
      <c r="G51" s="14" t="n">
        <f aca="false">COUNTIFS(Logbook!$K$2:$K$501,$A51,Logbook!$M$2:$M$501,"P")</f>
        <v>0</v>
      </c>
      <c r="H51" s="14" t="n">
        <f aca="false">COUNTIFS(Logbook!$K$2:$K$501,$A51,Logbook!$M$2:$M$501,"T")</f>
        <v>0</v>
      </c>
      <c r="I51" s="14" t="n">
        <f aca="false">SUM(B51:H51)</f>
        <v>0</v>
      </c>
      <c r="J51" s="11"/>
    </row>
    <row r="52" customFormat="false" ht="15" hidden="false" customHeight="false" outlineLevel="0" collapsed="false">
      <c r="A52" s="14" t="s">
        <v>128</v>
      </c>
      <c r="B52" s="14" t="n">
        <f aca="false">COUNTIFS(Logbook!$K$2:$K$501,$A52,Logbook!$M$2:$M$501,"O")</f>
        <v>0</v>
      </c>
      <c r="C52" s="14" t="n">
        <f aca="false">COUNTIFS(Logbook!$K$2:$K$501,$A52,Logbook!$M$2:$M$501,"A2")</f>
        <v>0</v>
      </c>
      <c r="D52" s="14" t="n">
        <f aca="false">COUNTIFS(Logbook!$K$2:$K$501,$A52,Logbook!$M$2:$M$501,"A")</f>
        <v>0</v>
      </c>
      <c r="E52" s="14" t="n">
        <f aca="false">COUNTIFS(Logbook!$K$2:$K$501,$A52,Logbook!$M$2:$M$501,"S-TS")</f>
        <v>0</v>
      </c>
      <c r="F52" s="14" t="n">
        <f aca="false">COUNTIFS(Logbook!$K$2:$K$501,$A52,Logbook!$M$2:$M$501,"S-TU")</f>
        <v>0</v>
      </c>
      <c r="G52" s="14" t="n">
        <f aca="false">COUNTIFS(Logbook!$K$2:$K$501,$A52,Logbook!$M$2:$M$501,"P")</f>
        <v>0</v>
      </c>
      <c r="H52" s="14" t="n">
        <f aca="false">COUNTIFS(Logbook!$K$2:$K$501,$A52,Logbook!$M$2:$M$501,"T")</f>
        <v>0</v>
      </c>
      <c r="I52" s="14" t="n">
        <f aca="false">SUM(B52:H52)</f>
        <v>0</v>
      </c>
      <c r="J52" s="11"/>
    </row>
    <row r="53" customFormat="false" ht="15" hidden="false" customHeight="false" outlineLevel="0" collapsed="false">
      <c r="A53" s="14" t="s">
        <v>129</v>
      </c>
      <c r="B53" s="14" t="n">
        <f aca="false">COUNTIFS(Logbook!$K$2:$K$501,$A53,Logbook!$M$2:$M$501,"O")</f>
        <v>0</v>
      </c>
      <c r="C53" s="14" t="n">
        <f aca="false">COUNTIFS(Logbook!$K$2:$K$501,$A53,Logbook!$M$2:$M$501,"A2")</f>
        <v>0</v>
      </c>
      <c r="D53" s="14" t="n">
        <f aca="false">COUNTIFS(Logbook!$K$2:$K$501,$A53,Logbook!$M$2:$M$501,"A")</f>
        <v>0</v>
      </c>
      <c r="E53" s="14" t="n">
        <f aca="false">COUNTIFS(Logbook!$K$2:$K$501,$A53,Logbook!$M$2:$M$501,"S-TS")</f>
        <v>0</v>
      </c>
      <c r="F53" s="14" t="n">
        <f aca="false">COUNTIFS(Logbook!$K$2:$K$501,$A53,Logbook!$M$2:$M$501,"S-TU")</f>
        <v>0</v>
      </c>
      <c r="G53" s="14" t="n">
        <f aca="false">COUNTIFS(Logbook!$K$2:$K$501,$A53,Logbook!$M$2:$M$501,"P")</f>
        <v>0</v>
      </c>
      <c r="H53" s="14" t="n">
        <f aca="false">COUNTIFS(Logbook!$K$2:$K$501,$A53,Logbook!$M$2:$M$501,"T")</f>
        <v>0</v>
      </c>
      <c r="I53" s="14" t="n">
        <f aca="false">SUM(B53:H53)</f>
        <v>0</v>
      </c>
      <c r="J53" s="11"/>
    </row>
    <row r="54" customFormat="false" ht="15" hidden="false" customHeight="false" outlineLevel="0" collapsed="false">
      <c r="A54" s="14" t="s">
        <v>130</v>
      </c>
      <c r="B54" s="14" t="n">
        <f aca="false">COUNTIFS(Logbook!$K$2:$K$501,$A54,Logbook!$M$2:$M$501,"O")</f>
        <v>0</v>
      </c>
      <c r="C54" s="14" t="n">
        <f aca="false">COUNTIFS(Logbook!$K$2:$K$501,$A54,Logbook!$M$2:$M$501,"A2")</f>
        <v>0</v>
      </c>
      <c r="D54" s="14" t="n">
        <f aca="false">COUNTIFS(Logbook!$K$2:$K$501,$A54,Logbook!$M$2:$M$501,"A")</f>
        <v>0</v>
      </c>
      <c r="E54" s="14" t="n">
        <f aca="false">COUNTIFS(Logbook!$K$2:$K$501,$A54,Logbook!$M$2:$M$501,"S-TS")</f>
        <v>0</v>
      </c>
      <c r="F54" s="14" t="n">
        <f aca="false">COUNTIFS(Logbook!$K$2:$K$501,$A54,Logbook!$M$2:$M$501,"S-TU")</f>
        <v>0</v>
      </c>
      <c r="G54" s="14" t="n">
        <f aca="false">COUNTIFS(Logbook!$K$2:$K$501,$A54,Logbook!$M$2:$M$501,"P")</f>
        <v>0</v>
      </c>
      <c r="H54" s="14" t="n">
        <f aca="false">COUNTIFS(Logbook!$K$2:$K$501,$A54,Logbook!$M$2:$M$501,"T")</f>
        <v>0</v>
      </c>
      <c r="I54" s="14" t="n">
        <f aca="false">SUM(B54:H54)</f>
        <v>0</v>
      </c>
      <c r="J54" s="11"/>
    </row>
    <row r="55" customFormat="false" ht="15" hidden="false" customHeight="false" outlineLevel="0" collapsed="false">
      <c r="A55" s="14" t="s">
        <v>131</v>
      </c>
      <c r="B55" s="14" t="n">
        <f aca="false">COUNTIFS(Logbook!$K$2:$K$501,$A55,Logbook!$M$2:$M$501,"O")</f>
        <v>0</v>
      </c>
      <c r="C55" s="14" t="n">
        <f aca="false">COUNTIFS(Logbook!$K$2:$K$501,$A55,Logbook!$M$2:$M$501,"A2")</f>
        <v>0</v>
      </c>
      <c r="D55" s="14" t="n">
        <f aca="false">COUNTIFS(Logbook!$K$2:$K$501,$A55,Logbook!$M$2:$M$501,"A")</f>
        <v>0</v>
      </c>
      <c r="E55" s="14" t="n">
        <f aca="false">COUNTIFS(Logbook!$K$2:$K$501,$A55,Logbook!$M$2:$M$501,"S-TS")</f>
        <v>0</v>
      </c>
      <c r="F55" s="14" t="n">
        <f aca="false">COUNTIFS(Logbook!$K$2:$K$501,$A55,Logbook!$M$2:$M$501,"S-TU")</f>
        <v>0</v>
      </c>
      <c r="G55" s="14" t="n">
        <f aca="false">COUNTIFS(Logbook!$K$2:$K$501,$A55,Logbook!$M$2:$M$501,"P")</f>
        <v>0</v>
      </c>
      <c r="H55" s="14" t="n">
        <f aca="false">COUNTIFS(Logbook!$K$2:$K$501,$A55,Logbook!$M$2:$M$501,"T")</f>
        <v>0</v>
      </c>
      <c r="I55" s="14" t="n">
        <f aca="false">SUM(B55:H55)</f>
        <v>0</v>
      </c>
      <c r="J55" s="11"/>
    </row>
    <row r="56" customFormat="false" ht="15" hidden="false" customHeight="false" outlineLevel="0" collapsed="false">
      <c r="A56" s="14" t="s">
        <v>132</v>
      </c>
      <c r="B56" s="14" t="n">
        <f aca="false">COUNTIFS(Logbook!$K$2:$K$501,$A56,Logbook!$M$2:$M$501,"O")</f>
        <v>0</v>
      </c>
      <c r="C56" s="14" t="n">
        <f aca="false">COUNTIFS(Logbook!$K$2:$K$501,$A56,Logbook!$M$2:$M$501,"A2")</f>
        <v>0</v>
      </c>
      <c r="D56" s="14" t="n">
        <f aca="false">COUNTIFS(Logbook!$K$2:$K$501,$A56,Logbook!$M$2:$M$501,"A")</f>
        <v>0</v>
      </c>
      <c r="E56" s="14" t="n">
        <f aca="false">COUNTIFS(Logbook!$K$2:$K$501,$A56,Logbook!$M$2:$M$501,"S-TS")</f>
        <v>0</v>
      </c>
      <c r="F56" s="14" t="n">
        <f aca="false">COUNTIFS(Logbook!$K$2:$K$501,$A56,Logbook!$M$2:$M$501,"S-TU")</f>
        <v>0</v>
      </c>
      <c r="G56" s="14" t="n">
        <f aca="false">COUNTIFS(Logbook!$K$2:$K$501,$A56,Logbook!$M$2:$M$501,"P")</f>
        <v>0</v>
      </c>
      <c r="H56" s="14" t="n">
        <f aca="false">COUNTIFS(Logbook!$K$2:$K$501,$A56,Logbook!$M$2:$M$501,"T")</f>
        <v>0</v>
      </c>
      <c r="I56" s="14" t="n">
        <f aca="false">SUM(B56:H56)</f>
        <v>0</v>
      </c>
      <c r="J56" s="11"/>
    </row>
    <row r="57" customFormat="false" ht="15" hidden="false" customHeight="false" outlineLevel="0" collapsed="false">
      <c r="A57" s="14" t="s">
        <v>133</v>
      </c>
      <c r="B57" s="14" t="n">
        <f aca="false">COUNTIFS(Logbook!$K$2:$K$501,$A57,Logbook!$M$2:$M$501,"O")</f>
        <v>0</v>
      </c>
      <c r="C57" s="14" t="n">
        <f aca="false">COUNTIFS(Logbook!$K$2:$K$501,$A57,Logbook!$M$2:$M$501,"A2")</f>
        <v>0</v>
      </c>
      <c r="D57" s="14" t="n">
        <f aca="false">COUNTIFS(Logbook!$K$2:$K$501,$A57,Logbook!$M$2:$M$501,"A")</f>
        <v>0</v>
      </c>
      <c r="E57" s="14" t="n">
        <f aca="false">COUNTIFS(Logbook!$K$2:$K$501,$A57,Logbook!$M$2:$M$501,"S-TS")</f>
        <v>0</v>
      </c>
      <c r="F57" s="14" t="n">
        <f aca="false">COUNTIFS(Logbook!$K$2:$K$501,$A57,Logbook!$M$2:$M$501,"S-TU")</f>
        <v>0</v>
      </c>
      <c r="G57" s="14" t="n">
        <f aca="false">COUNTIFS(Logbook!$K$2:$K$501,$A57,Logbook!$M$2:$M$501,"P")</f>
        <v>0</v>
      </c>
      <c r="H57" s="14" t="n">
        <f aca="false">COUNTIFS(Logbook!$K$2:$K$501,$A57,Logbook!$M$2:$M$501,"T")</f>
        <v>0</v>
      </c>
      <c r="I57" s="14" t="n">
        <f aca="false">SUM(B57:H57)</f>
        <v>0</v>
      </c>
      <c r="J57" s="11"/>
    </row>
    <row r="58" customFormat="false" ht="15" hidden="false" customHeight="false" outlineLevel="0" collapsed="false">
      <c r="A58" s="14" t="s">
        <v>134</v>
      </c>
      <c r="B58" s="14" t="n">
        <f aca="false">COUNTIFS(Logbook!$K$2:$K$501,$A58,Logbook!$M$2:$M$501,"O")</f>
        <v>0</v>
      </c>
      <c r="C58" s="14" t="n">
        <f aca="false">COUNTIFS(Logbook!$K$2:$K$501,$A58,Logbook!$M$2:$M$501,"A2")</f>
        <v>0</v>
      </c>
      <c r="D58" s="14" t="n">
        <f aca="false">COUNTIFS(Logbook!$K$2:$K$501,$A58,Logbook!$M$2:$M$501,"A")</f>
        <v>0</v>
      </c>
      <c r="E58" s="14" t="n">
        <f aca="false">COUNTIFS(Logbook!$K$2:$K$501,$A58,Logbook!$M$2:$M$501,"S-TS")</f>
        <v>0</v>
      </c>
      <c r="F58" s="14" t="n">
        <f aca="false">COUNTIFS(Logbook!$K$2:$K$501,$A58,Logbook!$M$2:$M$501,"S-TU")</f>
        <v>0</v>
      </c>
      <c r="G58" s="14" t="n">
        <f aca="false">COUNTIFS(Logbook!$K$2:$K$501,$A58,Logbook!$M$2:$M$501,"P")</f>
        <v>0</v>
      </c>
      <c r="H58" s="14" t="n">
        <f aca="false">COUNTIFS(Logbook!$K$2:$K$501,$A58,Logbook!$M$2:$M$501,"T")</f>
        <v>0</v>
      </c>
      <c r="I58" s="14" t="n">
        <f aca="false">SUM(B58:H58)</f>
        <v>0</v>
      </c>
      <c r="J58" s="11"/>
    </row>
    <row r="59" customFormat="false" ht="15" hidden="false" customHeight="false" outlineLevel="0" collapsed="false">
      <c r="A59" s="14" t="s">
        <v>135</v>
      </c>
      <c r="B59" s="14" t="n">
        <f aca="false">COUNTIFS(Logbook!$K$2:$K$501,$A59,Logbook!$M$2:$M$501,"O")</f>
        <v>0</v>
      </c>
      <c r="C59" s="14" t="n">
        <f aca="false">COUNTIFS(Logbook!$K$2:$K$501,$A59,Logbook!$M$2:$M$501,"A2")</f>
        <v>0</v>
      </c>
      <c r="D59" s="14" t="n">
        <f aca="false">COUNTIFS(Logbook!$K$2:$K$501,$A59,Logbook!$M$2:$M$501,"A")</f>
        <v>0</v>
      </c>
      <c r="E59" s="14" t="n">
        <f aca="false">COUNTIFS(Logbook!$K$2:$K$501,$A59,Logbook!$M$2:$M$501,"S-TS")</f>
        <v>0</v>
      </c>
      <c r="F59" s="14" t="n">
        <f aca="false">COUNTIFS(Logbook!$K$2:$K$501,$A59,Logbook!$M$2:$M$501,"S-TU")</f>
        <v>0</v>
      </c>
      <c r="G59" s="14" t="n">
        <f aca="false">COUNTIFS(Logbook!$K$2:$K$501,$A59,Logbook!$M$2:$M$501,"P")</f>
        <v>0</v>
      </c>
      <c r="H59" s="14" t="n">
        <f aca="false">COUNTIFS(Logbook!$K$2:$K$501,$A59,Logbook!$M$2:$M$501,"T")</f>
        <v>0</v>
      </c>
      <c r="I59" s="14" t="n">
        <f aca="false">SUM(B59:H59)</f>
        <v>0</v>
      </c>
      <c r="J59" s="11"/>
    </row>
    <row r="60" customFormat="false" ht="15" hidden="false" customHeight="false" outlineLevel="0" collapsed="false">
      <c r="A60" s="14" t="s">
        <v>136</v>
      </c>
      <c r="B60" s="14" t="n">
        <f aca="false">COUNTIFS(Logbook!$K$2:$K$501,$A60,Logbook!$M$2:$M$501,"O")</f>
        <v>0</v>
      </c>
      <c r="C60" s="14" t="n">
        <f aca="false">COUNTIFS(Logbook!$K$2:$K$501,$A60,Logbook!$M$2:$M$501,"A2")</f>
        <v>0</v>
      </c>
      <c r="D60" s="14" t="n">
        <f aca="false">COUNTIFS(Logbook!$K$2:$K$501,$A60,Logbook!$M$2:$M$501,"A")</f>
        <v>0</v>
      </c>
      <c r="E60" s="14" t="n">
        <f aca="false">COUNTIFS(Logbook!$K$2:$K$501,$A60,Logbook!$M$2:$M$501,"S-TS")</f>
        <v>0</v>
      </c>
      <c r="F60" s="14" t="n">
        <f aca="false">COUNTIFS(Logbook!$K$2:$K$501,$A60,Logbook!$M$2:$M$501,"S-TU")</f>
        <v>0</v>
      </c>
      <c r="G60" s="14" t="n">
        <f aca="false">COUNTIFS(Logbook!$K$2:$K$501,$A60,Logbook!$M$2:$M$501,"P")</f>
        <v>0</v>
      </c>
      <c r="H60" s="14" t="n">
        <f aca="false">COUNTIFS(Logbook!$K$2:$K$501,$A60,Logbook!$M$2:$M$501,"T")</f>
        <v>0</v>
      </c>
      <c r="I60" s="14" t="n">
        <f aca="false">SUM(B60:H60)</f>
        <v>0</v>
      </c>
      <c r="J60" s="11"/>
    </row>
    <row r="61" customFormat="false" ht="15" hidden="false" customHeight="false" outlineLevel="0" collapsed="false">
      <c r="A61" s="14" t="s">
        <v>137</v>
      </c>
      <c r="B61" s="14" t="n">
        <f aca="false">COUNTIFS(Logbook!$K$2:$K$501,$A61,Logbook!$M$2:$M$501,"O")</f>
        <v>0</v>
      </c>
      <c r="C61" s="14" t="n">
        <f aca="false">COUNTIFS(Logbook!$K$2:$K$501,$A61,Logbook!$M$2:$M$501,"A2")</f>
        <v>0</v>
      </c>
      <c r="D61" s="14" t="n">
        <f aca="false">COUNTIFS(Logbook!$K$2:$K$501,$A61,Logbook!$M$2:$M$501,"A")</f>
        <v>0</v>
      </c>
      <c r="E61" s="14" t="n">
        <f aca="false">COUNTIFS(Logbook!$K$2:$K$501,$A61,Logbook!$M$2:$M$501,"S-TS")</f>
        <v>0</v>
      </c>
      <c r="F61" s="14" t="n">
        <f aca="false">COUNTIFS(Logbook!$K$2:$K$501,$A61,Logbook!$M$2:$M$501,"S-TU")</f>
        <v>0</v>
      </c>
      <c r="G61" s="14" t="n">
        <f aca="false">COUNTIFS(Logbook!$K$2:$K$501,$A61,Logbook!$M$2:$M$501,"P")</f>
        <v>0</v>
      </c>
      <c r="H61" s="14" t="n">
        <f aca="false">COUNTIFS(Logbook!$K$2:$K$501,$A61,Logbook!$M$2:$M$501,"T")</f>
        <v>0</v>
      </c>
      <c r="I61" s="14" t="n">
        <f aca="false">SUM(B61:H61)</f>
        <v>0</v>
      </c>
      <c r="J61" s="11"/>
    </row>
    <row r="62" customFormat="false" ht="15" hidden="false" customHeight="false" outlineLevel="0" collapsed="false">
      <c r="A62" s="14" t="s">
        <v>138</v>
      </c>
      <c r="B62" s="14" t="n">
        <f aca="false">COUNTIFS(Logbook!$K$2:$K$501,$A62,Logbook!$M$2:$M$501,"O")</f>
        <v>0</v>
      </c>
      <c r="C62" s="14" t="n">
        <f aca="false">COUNTIFS(Logbook!$K$2:$K$501,$A62,Logbook!$M$2:$M$501,"A2")</f>
        <v>0</v>
      </c>
      <c r="D62" s="14" t="n">
        <f aca="false">COUNTIFS(Logbook!$K$2:$K$501,$A62,Logbook!$M$2:$M$501,"A")</f>
        <v>0</v>
      </c>
      <c r="E62" s="14" t="n">
        <f aca="false">COUNTIFS(Logbook!$K$2:$K$501,$A62,Logbook!$M$2:$M$501,"S-TS")</f>
        <v>0</v>
      </c>
      <c r="F62" s="14" t="n">
        <f aca="false">COUNTIFS(Logbook!$K$2:$K$501,$A62,Logbook!$M$2:$M$501,"S-TU")</f>
        <v>0</v>
      </c>
      <c r="G62" s="14" t="n">
        <f aca="false">COUNTIFS(Logbook!$K$2:$K$501,$A62,Logbook!$M$2:$M$501,"P")</f>
        <v>0</v>
      </c>
      <c r="H62" s="14" t="n">
        <f aca="false">COUNTIFS(Logbook!$K$2:$K$501,$A62,Logbook!$M$2:$M$501,"T")</f>
        <v>0</v>
      </c>
      <c r="I62" s="14" t="n">
        <f aca="false">SUM(B62:H62)</f>
        <v>0</v>
      </c>
      <c r="J62" s="11"/>
    </row>
    <row r="63" customFormat="false" ht="15" hidden="false" customHeight="false" outlineLevel="0" collapsed="false">
      <c r="A63" s="14" t="s">
        <v>139</v>
      </c>
      <c r="B63" s="14" t="n">
        <f aca="false">COUNTIFS(Logbook!$K$2:$K$501,$A63,Logbook!$M$2:$M$501,"O")</f>
        <v>0</v>
      </c>
      <c r="C63" s="14" t="n">
        <f aca="false">COUNTIFS(Logbook!$K$2:$K$501,$A63,Logbook!$M$2:$M$501,"A2")</f>
        <v>0</v>
      </c>
      <c r="D63" s="14" t="n">
        <f aca="false">COUNTIFS(Logbook!$K$2:$K$501,$A63,Logbook!$M$2:$M$501,"A")</f>
        <v>0</v>
      </c>
      <c r="E63" s="14" t="n">
        <f aca="false">COUNTIFS(Logbook!$K$2:$K$501,$A63,Logbook!$M$2:$M$501,"S-TS")</f>
        <v>0</v>
      </c>
      <c r="F63" s="14" t="n">
        <f aca="false">COUNTIFS(Logbook!$K$2:$K$501,$A63,Logbook!$M$2:$M$501,"S-TU")</f>
        <v>0</v>
      </c>
      <c r="G63" s="14" t="n">
        <f aca="false">COUNTIFS(Logbook!$K$2:$K$501,$A63,Logbook!$M$2:$M$501,"P")</f>
        <v>0</v>
      </c>
      <c r="H63" s="14" t="n">
        <f aca="false">COUNTIFS(Logbook!$K$2:$K$501,$A63,Logbook!$M$2:$M$501,"T")</f>
        <v>0</v>
      </c>
      <c r="I63" s="14" t="n">
        <f aca="false">SUM(B63:H63)</f>
        <v>0</v>
      </c>
      <c r="J63" s="11"/>
    </row>
    <row r="64" customFormat="false" ht="15" hidden="false" customHeight="false" outlineLevel="0" collapsed="false">
      <c r="A64" s="14" t="s">
        <v>140</v>
      </c>
      <c r="B64" s="14" t="n">
        <f aca="false">COUNTIFS(Logbook!$K$2:$K$501,$A64,Logbook!$M$2:$M$501,"O")</f>
        <v>0</v>
      </c>
      <c r="C64" s="14" t="n">
        <f aca="false">COUNTIFS(Logbook!$K$2:$K$501,$A64,Logbook!$M$2:$M$501,"A2")</f>
        <v>0</v>
      </c>
      <c r="D64" s="14" t="n">
        <f aca="false">COUNTIFS(Logbook!$K$2:$K$501,$A64,Logbook!$M$2:$M$501,"A")</f>
        <v>0</v>
      </c>
      <c r="E64" s="14" t="n">
        <f aca="false">COUNTIFS(Logbook!$K$2:$K$501,$A64,Logbook!$M$2:$M$501,"S-TS")</f>
        <v>0</v>
      </c>
      <c r="F64" s="14" t="n">
        <f aca="false">COUNTIFS(Logbook!$K$2:$K$501,$A64,Logbook!$M$2:$M$501,"S-TU")</f>
        <v>0</v>
      </c>
      <c r="G64" s="14" t="n">
        <f aca="false">COUNTIFS(Logbook!$K$2:$K$501,$A64,Logbook!$M$2:$M$501,"P")</f>
        <v>0</v>
      </c>
      <c r="H64" s="14" t="n">
        <f aca="false">COUNTIFS(Logbook!$K$2:$K$501,$A64,Logbook!$M$2:$M$501,"T")</f>
        <v>0</v>
      </c>
      <c r="I64" s="14" t="n">
        <f aca="false">SUM(B64:H64)</f>
        <v>0</v>
      </c>
      <c r="J64" s="11"/>
    </row>
    <row r="65" customFormat="false" ht="15" hidden="false" customHeight="false" outlineLevel="0" collapsed="false">
      <c r="A65" s="14" t="s">
        <v>141</v>
      </c>
      <c r="B65" s="14" t="n">
        <f aca="false">COUNTIFS(Logbook!$K$2:$K$501,$A65,Logbook!$M$2:$M$501,"O")</f>
        <v>0</v>
      </c>
      <c r="C65" s="14" t="n">
        <f aca="false">COUNTIFS(Logbook!$K$2:$K$501,$A65,Logbook!$M$2:$M$501,"A2")</f>
        <v>0</v>
      </c>
      <c r="D65" s="14" t="n">
        <f aca="false">COUNTIFS(Logbook!$K$2:$K$501,$A65,Logbook!$M$2:$M$501,"A")</f>
        <v>0</v>
      </c>
      <c r="E65" s="14" t="n">
        <f aca="false">COUNTIFS(Logbook!$K$2:$K$501,$A65,Logbook!$M$2:$M$501,"S-TS")</f>
        <v>0</v>
      </c>
      <c r="F65" s="14" t="n">
        <f aca="false">COUNTIFS(Logbook!$K$2:$K$501,$A65,Logbook!$M$2:$M$501,"S-TU")</f>
        <v>0</v>
      </c>
      <c r="G65" s="14" t="n">
        <f aca="false">COUNTIFS(Logbook!$K$2:$K$501,$A65,Logbook!$M$2:$M$501,"P")</f>
        <v>0</v>
      </c>
      <c r="H65" s="14" t="n">
        <f aca="false">COUNTIFS(Logbook!$K$2:$K$501,$A65,Logbook!$M$2:$M$501,"T")</f>
        <v>0</v>
      </c>
      <c r="I65" s="14" t="n">
        <f aca="false">SUM(B65:H65)</f>
        <v>0</v>
      </c>
      <c r="J65" s="11"/>
    </row>
    <row r="66" customFormat="false" ht="15" hidden="false" customHeight="false" outlineLevel="0" collapsed="false">
      <c r="A66" s="14" t="s">
        <v>142</v>
      </c>
      <c r="B66" s="14" t="n">
        <f aca="false">COUNTIFS(Logbook!$K$2:$K$501,$A66,Logbook!$M$2:$M$501,"O")</f>
        <v>0</v>
      </c>
      <c r="C66" s="14" t="n">
        <f aca="false">COUNTIFS(Logbook!$K$2:$K$501,$A66,Logbook!$M$2:$M$501,"A2")</f>
        <v>0</v>
      </c>
      <c r="D66" s="14" t="n">
        <f aca="false">COUNTIFS(Logbook!$K$2:$K$501,$A66,Logbook!$M$2:$M$501,"A")</f>
        <v>0</v>
      </c>
      <c r="E66" s="14" t="n">
        <f aca="false">COUNTIFS(Logbook!$K$2:$K$501,$A66,Logbook!$M$2:$M$501,"S-TS")</f>
        <v>0</v>
      </c>
      <c r="F66" s="14" t="n">
        <f aca="false">COUNTIFS(Logbook!$K$2:$K$501,$A66,Logbook!$M$2:$M$501,"S-TU")</f>
        <v>0</v>
      </c>
      <c r="G66" s="14" t="n">
        <f aca="false">COUNTIFS(Logbook!$K$2:$K$501,$A66,Logbook!$M$2:$M$501,"P")</f>
        <v>0</v>
      </c>
      <c r="H66" s="14" t="n">
        <f aca="false">COUNTIFS(Logbook!$K$2:$K$501,$A66,Logbook!$M$2:$M$501,"T")</f>
        <v>0</v>
      </c>
      <c r="I66" s="14" t="n">
        <f aca="false">SUM(B66:H66)</f>
        <v>0</v>
      </c>
      <c r="J66" s="11"/>
    </row>
    <row r="67" customFormat="false" ht="15" hidden="false" customHeight="false" outlineLevel="0" collapsed="false">
      <c r="A67" s="14" t="s">
        <v>143</v>
      </c>
      <c r="B67" s="14" t="n">
        <f aca="false">COUNTIFS(Logbook!$K$2:$K$501,$A67,Logbook!$M$2:$M$501,"O")</f>
        <v>0</v>
      </c>
      <c r="C67" s="14" t="n">
        <f aca="false">COUNTIFS(Logbook!$K$2:$K$501,$A67,Logbook!$M$2:$M$501,"A2")</f>
        <v>0</v>
      </c>
      <c r="D67" s="14" t="n">
        <f aca="false">COUNTIFS(Logbook!$K$2:$K$501,$A67,Logbook!$M$2:$M$501,"A")</f>
        <v>0</v>
      </c>
      <c r="E67" s="14" t="n">
        <f aca="false">COUNTIFS(Logbook!$K$2:$K$501,$A67,Logbook!$M$2:$M$501,"S-TS")</f>
        <v>0</v>
      </c>
      <c r="F67" s="14" t="n">
        <f aca="false">COUNTIFS(Logbook!$K$2:$K$501,$A67,Logbook!$M$2:$M$501,"S-TU")</f>
        <v>0</v>
      </c>
      <c r="G67" s="14" t="n">
        <f aca="false">COUNTIFS(Logbook!$K$2:$K$501,$A67,Logbook!$M$2:$M$501,"P")</f>
        <v>0</v>
      </c>
      <c r="H67" s="14" t="n">
        <f aca="false">COUNTIFS(Logbook!$K$2:$K$501,$A67,Logbook!$M$2:$M$501,"T")</f>
        <v>0</v>
      </c>
      <c r="I67" s="14" t="n">
        <f aca="false">SUM(B67:H67)</f>
        <v>0</v>
      </c>
      <c r="J67" s="11"/>
    </row>
    <row r="68" customFormat="false" ht="15" hidden="false" customHeight="false" outlineLevel="0" collapsed="false">
      <c r="A68" s="14" t="s">
        <v>144</v>
      </c>
      <c r="B68" s="14" t="n">
        <f aca="false">COUNTIFS(Logbook!$K$2:$K$501,$A68,Logbook!$M$2:$M$501,"O")</f>
        <v>0</v>
      </c>
      <c r="C68" s="14" t="n">
        <f aca="false">COUNTIFS(Logbook!$K$2:$K$501,$A68,Logbook!$M$2:$M$501,"A2")</f>
        <v>0</v>
      </c>
      <c r="D68" s="14" t="n">
        <f aca="false">COUNTIFS(Logbook!$K$2:$K$501,$A68,Logbook!$M$2:$M$501,"A")</f>
        <v>0</v>
      </c>
      <c r="E68" s="14" t="n">
        <f aca="false">COUNTIFS(Logbook!$K$2:$K$501,$A68,Logbook!$M$2:$M$501,"S-TS")</f>
        <v>0</v>
      </c>
      <c r="F68" s="14" t="n">
        <f aca="false">COUNTIFS(Logbook!$K$2:$K$501,$A68,Logbook!$M$2:$M$501,"S-TU")</f>
        <v>0</v>
      </c>
      <c r="G68" s="14" t="n">
        <f aca="false">COUNTIFS(Logbook!$K$2:$K$501,$A68,Logbook!$M$2:$M$501,"P")</f>
        <v>0</v>
      </c>
      <c r="H68" s="14" t="n">
        <f aca="false">COUNTIFS(Logbook!$K$2:$K$501,$A68,Logbook!$M$2:$M$501,"T")</f>
        <v>0</v>
      </c>
      <c r="I68" s="14" t="n">
        <f aca="false">SUM(B68:H68)</f>
        <v>0</v>
      </c>
      <c r="J68" s="11"/>
    </row>
    <row r="69" customFormat="false" ht="15" hidden="false" customHeight="false" outlineLevel="0" collapsed="false">
      <c r="A69" s="14" t="s">
        <v>145</v>
      </c>
      <c r="B69" s="14" t="n">
        <f aca="false">COUNTIFS(Logbook!$K$2:$K$501,$A69,Logbook!$M$2:$M$501,"O")</f>
        <v>0</v>
      </c>
      <c r="C69" s="14" t="n">
        <f aca="false">COUNTIFS(Logbook!$K$2:$K$501,$A69,Logbook!$M$2:$M$501,"A2")</f>
        <v>0</v>
      </c>
      <c r="D69" s="14" t="n">
        <f aca="false">COUNTIFS(Logbook!$K$2:$K$501,$A69,Logbook!$M$2:$M$501,"A")</f>
        <v>0</v>
      </c>
      <c r="E69" s="14" t="n">
        <f aca="false">COUNTIFS(Logbook!$K$2:$K$501,$A69,Logbook!$M$2:$M$501,"S-TS")</f>
        <v>0</v>
      </c>
      <c r="F69" s="14" t="n">
        <f aca="false">COUNTIFS(Logbook!$K$2:$K$501,$A69,Logbook!$M$2:$M$501,"S-TU")</f>
        <v>0</v>
      </c>
      <c r="G69" s="14" t="n">
        <f aca="false">COUNTIFS(Logbook!$K$2:$K$501,$A69,Logbook!$M$2:$M$501,"P")</f>
        <v>0</v>
      </c>
      <c r="H69" s="14" t="n">
        <f aca="false">COUNTIFS(Logbook!$K$2:$K$501,$A69,Logbook!$M$2:$M$501,"T")</f>
        <v>0</v>
      </c>
      <c r="I69" s="14" t="n">
        <f aca="false">SUM(B69:H69)</f>
        <v>0</v>
      </c>
      <c r="J69" s="11"/>
    </row>
    <row r="70" customFormat="false" ht="15" hidden="false" customHeight="false" outlineLevel="0" collapsed="false">
      <c r="A70" s="14" t="s">
        <v>146</v>
      </c>
      <c r="B70" s="14" t="n">
        <f aca="false">COUNTIFS(Logbook!$K$2:$K$501,$A70,Logbook!$M$2:$M$501,"O")</f>
        <v>0</v>
      </c>
      <c r="C70" s="14" t="n">
        <f aca="false">COUNTIFS(Logbook!$K$2:$K$501,$A70,Logbook!$M$2:$M$501,"A2")</f>
        <v>0</v>
      </c>
      <c r="D70" s="14" t="n">
        <f aca="false">COUNTIFS(Logbook!$K$2:$K$501,$A70,Logbook!$M$2:$M$501,"A")</f>
        <v>0</v>
      </c>
      <c r="E70" s="14" t="n">
        <f aca="false">COUNTIFS(Logbook!$K$2:$K$501,$A70,Logbook!$M$2:$M$501,"S-TS")</f>
        <v>0</v>
      </c>
      <c r="F70" s="14" t="n">
        <f aca="false">COUNTIFS(Logbook!$K$2:$K$501,$A70,Logbook!$M$2:$M$501,"S-TU")</f>
        <v>0</v>
      </c>
      <c r="G70" s="14" t="n">
        <f aca="false">COUNTIFS(Logbook!$K$2:$K$501,$A70,Logbook!$M$2:$M$501,"P")</f>
        <v>0</v>
      </c>
      <c r="H70" s="14" t="n">
        <f aca="false">COUNTIFS(Logbook!$K$2:$K$501,$A70,Logbook!$M$2:$M$501,"T")</f>
        <v>0</v>
      </c>
      <c r="I70" s="14" t="n">
        <f aca="false">SUM(B70:H70)</f>
        <v>0</v>
      </c>
      <c r="J70" s="11"/>
    </row>
    <row r="71" customFormat="false" ht="15" hidden="false" customHeight="false" outlineLevel="0" collapsed="false">
      <c r="A71" s="14" t="s">
        <v>147</v>
      </c>
      <c r="B71" s="14" t="n">
        <f aca="false">COUNTIFS(Logbook!$K$2:$K$501,$A71,Logbook!$M$2:$M$501,"O")</f>
        <v>0</v>
      </c>
      <c r="C71" s="14" t="n">
        <f aca="false">COUNTIFS(Logbook!$K$2:$K$501,$A71,Logbook!$M$2:$M$501,"A2")</f>
        <v>0</v>
      </c>
      <c r="D71" s="14" t="n">
        <f aca="false">COUNTIFS(Logbook!$K$2:$K$501,$A71,Logbook!$M$2:$M$501,"A")</f>
        <v>0</v>
      </c>
      <c r="E71" s="14" t="n">
        <f aca="false">COUNTIFS(Logbook!$K$2:$K$501,$A71,Logbook!$M$2:$M$501,"S-TS")</f>
        <v>0</v>
      </c>
      <c r="F71" s="14" t="n">
        <f aca="false">COUNTIFS(Logbook!$K$2:$K$501,$A71,Logbook!$M$2:$M$501,"S-TU")</f>
        <v>0</v>
      </c>
      <c r="G71" s="14" t="n">
        <f aca="false">COUNTIFS(Logbook!$K$2:$K$501,$A71,Logbook!$M$2:$M$501,"P")</f>
        <v>0</v>
      </c>
      <c r="H71" s="14" t="n">
        <f aca="false">COUNTIFS(Logbook!$K$2:$K$501,$A71,Logbook!$M$2:$M$501,"T")</f>
        <v>0</v>
      </c>
      <c r="I71" s="14" t="n">
        <f aca="false">SUM(B71:H71)</f>
        <v>0</v>
      </c>
      <c r="J71" s="11"/>
    </row>
    <row r="72" customFormat="false" ht="15" hidden="false" customHeight="false" outlineLevel="0" collapsed="false">
      <c r="A72" s="14" t="s">
        <v>148</v>
      </c>
      <c r="B72" s="14" t="n">
        <f aca="false">COUNTIFS(Logbook!$K$2:$K$501,$A72,Logbook!$M$2:$M$501,"O")</f>
        <v>0</v>
      </c>
      <c r="C72" s="14" t="n">
        <f aca="false">COUNTIFS(Logbook!$K$2:$K$501,$A72,Logbook!$M$2:$M$501,"A2")</f>
        <v>0</v>
      </c>
      <c r="D72" s="14" t="n">
        <f aca="false">COUNTIFS(Logbook!$K$2:$K$501,$A72,Logbook!$M$2:$M$501,"A")</f>
        <v>0</v>
      </c>
      <c r="E72" s="14" t="n">
        <f aca="false">COUNTIFS(Logbook!$K$2:$K$501,$A72,Logbook!$M$2:$M$501,"S-TS")</f>
        <v>0</v>
      </c>
      <c r="F72" s="14" t="n">
        <f aca="false">COUNTIFS(Logbook!$K$2:$K$501,$A72,Logbook!$M$2:$M$501,"S-TU")</f>
        <v>0</v>
      </c>
      <c r="G72" s="14" t="n">
        <f aca="false">COUNTIFS(Logbook!$K$2:$K$501,$A72,Logbook!$M$2:$M$501,"P")</f>
        <v>0</v>
      </c>
      <c r="H72" s="14" t="n">
        <f aca="false">COUNTIFS(Logbook!$K$2:$K$501,$A72,Logbook!$M$2:$M$501,"T")</f>
        <v>0</v>
      </c>
      <c r="I72" s="14" t="n">
        <f aca="false">SUM(B72:H72)</f>
        <v>0</v>
      </c>
      <c r="J72" s="11"/>
    </row>
    <row r="73" customFormat="false" ht="15" hidden="false" customHeight="false" outlineLevel="0" collapsed="false">
      <c r="A73" s="14" t="s">
        <v>149</v>
      </c>
      <c r="B73" s="14" t="n">
        <f aca="false">COUNTIFS(Logbook!$K$2:$K$501,$A73,Logbook!$M$2:$M$501,"O")</f>
        <v>0</v>
      </c>
      <c r="C73" s="14" t="n">
        <f aca="false">COUNTIFS(Logbook!$K$2:$K$501,$A73,Logbook!$M$2:$M$501,"A2")</f>
        <v>0</v>
      </c>
      <c r="D73" s="14" t="n">
        <f aca="false">COUNTIFS(Logbook!$K$2:$K$501,$A73,Logbook!$M$2:$M$501,"A")</f>
        <v>0</v>
      </c>
      <c r="E73" s="14" t="n">
        <f aca="false">COUNTIFS(Logbook!$K$2:$K$501,$A73,Logbook!$M$2:$M$501,"S-TS")</f>
        <v>0</v>
      </c>
      <c r="F73" s="14" t="n">
        <f aca="false">COUNTIFS(Logbook!$K$2:$K$501,$A73,Logbook!$M$2:$M$501,"S-TU")</f>
        <v>0</v>
      </c>
      <c r="G73" s="14" t="n">
        <f aca="false">COUNTIFS(Logbook!$K$2:$K$501,$A73,Logbook!$M$2:$M$501,"P")</f>
        <v>0</v>
      </c>
      <c r="H73" s="14" t="n">
        <f aca="false">COUNTIFS(Logbook!$K$2:$K$501,$A73,Logbook!$M$2:$M$501,"T")</f>
        <v>0</v>
      </c>
      <c r="I73" s="14" t="n">
        <f aca="false">SUM(B73:H73)</f>
        <v>0</v>
      </c>
      <c r="J73" s="11"/>
    </row>
    <row r="74" customFormat="false" ht="15" hidden="false" customHeight="false" outlineLevel="0" collapsed="false">
      <c r="A74" s="14" t="s">
        <v>150</v>
      </c>
      <c r="B74" s="14" t="n">
        <f aca="false">COUNTIFS(Logbook!$K$2:$K$501,$A74,Logbook!$M$2:$M$501,"O")</f>
        <v>0</v>
      </c>
      <c r="C74" s="14" t="n">
        <f aca="false">COUNTIFS(Logbook!$K$2:$K$501,$A74,Logbook!$M$2:$M$501,"A2")</f>
        <v>0</v>
      </c>
      <c r="D74" s="14" t="n">
        <f aca="false">COUNTIFS(Logbook!$K$2:$K$501,$A74,Logbook!$M$2:$M$501,"A")</f>
        <v>0</v>
      </c>
      <c r="E74" s="14" t="n">
        <f aca="false">COUNTIFS(Logbook!$K$2:$K$501,$A74,Logbook!$M$2:$M$501,"S-TS")</f>
        <v>0</v>
      </c>
      <c r="F74" s="14" t="n">
        <f aca="false">COUNTIFS(Logbook!$K$2:$K$501,$A74,Logbook!$M$2:$M$501,"S-TU")</f>
        <v>0</v>
      </c>
      <c r="G74" s="14" t="n">
        <f aca="false">COUNTIFS(Logbook!$K$2:$K$501,$A74,Logbook!$M$2:$M$501,"P")</f>
        <v>0</v>
      </c>
      <c r="H74" s="14" t="n">
        <f aca="false">COUNTIFS(Logbook!$K$2:$K$501,$A74,Logbook!$M$2:$M$501,"T")</f>
        <v>0</v>
      </c>
      <c r="I74" s="14" t="n">
        <f aca="false">SUM(B74:H74)</f>
        <v>0</v>
      </c>
      <c r="J74" s="11"/>
    </row>
    <row r="75" customFormat="false" ht="15" hidden="false" customHeight="false" outlineLevel="0" collapsed="false">
      <c r="A75" s="14" t="s">
        <v>151</v>
      </c>
      <c r="B75" s="14" t="n">
        <f aca="false">COUNTIFS(Logbook!$K$2:$K$501,$A75,Logbook!$M$2:$M$501,"O")</f>
        <v>0</v>
      </c>
      <c r="C75" s="14" t="n">
        <f aca="false">COUNTIFS(Logbook!$K$2:$K$501,$A75,Logbook!$M$2:$M$501,"A2")</f>
        <v>0</v>
      </c>
      <c r="D75" s="14" t="n">
        <f aca="false">COUNTIFS(Logbook!$K$2:$K$501,$A75,Logbook!$M$2:$M$501,"A")</f>
        <v>0</v>
      </c>
      <c r="E75" s="14" t="n">
        <f aca="false">COUNTIFS(Logbook!$K$2:$K$501,$A75,Logbook!$M$2:$M$501,"S-TS")</f>
        <v>0</v>
      </c>
      <c r="F75" s="14" t="n">
        <f aca="false">COUNTIFS(Logbook!$K$2:$K$501,$A75,Logbook!$M$2:$M$501,"S-TU")</f>
        <v>0</v>
      </c>
      <c r="G75" s="14" t="n">
        <f aca="false">COUNTIFS(Logbook!$K$2:$K$501,$A75,Logbook!$M$2:$M$501,"P")</f>
        <v>0</v>
      </c>
      <c r="H75" s="14" t="n">
        <f aca="false">COUNTIFS(Logbook!$K$2:$K$501,$A75,Logbook!$M$2:$M$501,"T")</f>
        <v>0</v>
      </c>
      <c r="I75" s="14" t="n">
        <f aca="false">SUM(B75:H75)</f>
        <v>0</v>
      </c>
      <c r="J75" s="11"/>
    </row>
    <row r="76" customFormat="false" ht="15" hidden="false" customHeight="false" outlineLevel="0" collapsed="false">
      <c r="A76" s="14" t="s">
        <v>152</v>
      </c>
      <c r="B76" s="14" t="n">
        <f aca="false">COUNTIFS(Logbook!$K$2:$K$501,$A76,Logbook!$M$2:$M$501,"O")</f>
        <v>0</v>
      </c>
      <c r="C76" s="14" t="n">
        <f aca="false">COUNTIFS(Logbook!$K$2:$K$501,$A76,Logbook!$M$2:$M$501,"A2")</f>
        <v>0</v>
      </c>
      <c r="D76" s="14" t="n">
        <f aca="false">COUNTIFS(Logbook!$K$2:$K$501,$A76,Logbook!$M$2:$M$501,"A")</f>
        <v>0</v>
      </c>
      <c r="E76" s="14" t="n">
        <f aca="false">COUNTIFS(Logbook!$K$2:$K$501,$A76,Logbook!$M$2:$M$501,"S-TS")</f>
        <v>0</v>
      </c>
      <c r="F76" s="14" t="n">
        <f aca="false">COUNTIFS(Logbook!$K$2:$K$501,$A76,Logbook!$M$2:$M$501,"S-TU")</f>
        <v>0</v>
      </c>
      <c r="G76" s="14" t="n">
        <f aca="false">COUNTIFS(Logbook!$K$2:$K$501,$A76,Logbook!$M$2:$M$501,"P")</f>
        <v>0</v>
      </c>
      <c r="H76" s="14" t="n">
        <f aca="false">COUNTIFS(Logbook!$K$2:$K$501,$A76,Logbook!$M$2:$M$501,"T")</f>
        <v>0</v>
      </c>
      <c r="I76" s="14" t="n">
        <f aca="false">SUM(B76:H76)</f>
        <v>0</v>
      </c>
      <c r="J76" s="11"/>
    </row>
    <row r="77" customFormat="false" ht="15" hidden="false" customHeight="false" outlineLevel="0" collapsed="false">
      <c r="A77" s="14" t="s">
        <v>153</v>
      </c>
      <c r="B77" s="14" t="n">
        <f aca="false">COUNTIFS(Logbook!$K$2:$K$501,$A77,Logbook!$M$2:$M$501,"O")</f>
        <v>0</v>
      </c>
      <c r="C77" s="14" t="n">
        <f aca="false">COUNTIFS(Logbook!$K$2:$K$501,$A77,Logbook!$M$2:$M$501,"A2")</f>
        <v>0</v>
      </c>
      <c r="D77" s="14" t="n">
        <f aca="false">COUNTIFS(Logbook!$K$2:$K$501,$A77,Logbook!$M$2:$M$501,"A")</f>
        <v>0</v>
      </c>
      <c r="E77" s="14" t="n">
        <f aca="false">COUNTIFS(Logbook!$K$2:$K$501,$A77,Logbook!$M$2:$M$501,"S-TS")</f>
        <v>0</v>
      </c>
      <c r="F77" s="14" t="n">
        <f aca="false">COUNTIFS(Logbook!$K$2:$K$501,$A77,Logbook!$M$2:$M$501,"S-TU")</f>
        <v>0</v>
      </c>
      <c r="G77" s="14" t="n">
        <f aca="false">COUNTIFS(Logbook!$K$2:$K$501,$A77,Logbook!$M$2:$M$501,"P")</f>
        <v>0</v>
      </c>
      <c r="H77" s="14" t="n">
        <f aca="false">COUNTIFS(Logbook!$K$2:$K$501,$A77,Logbook!$M$2:$M$501,"T")</f>
        <v>0</v>
      </c>
      <c r="I77" s="14" t="n">
        <f aca="false">SUM(B77:H77)</f>
        <v>0</v>
      </c>
      <c r="J77" s="11"/>
    </row>
    <row r="78" customFormat="false" ht="15" hidden="false" customHeight="false" outlineLevel="0" collapsed="false">
      <c r="A78" s="14" t="s">
        <v>154</v>
      </c>
      <c r="B78" s="14" t="n">
        <f aca="false">COUNTIFS(Logbook!$K$2:$K$501,$A78,Logbook!$M$2:$M$501,"O")</f>
        <v>0</v>
      </c>
      <c r="C78" s="14" t="n">
        <f aca="false">COUNTIFS(Logbook!$K$2:$K$501,$A78,Logbook!$M$2:$M$501,"A2")</f>
        <v>0</v>
      </c>
      <c r="D78" s="14" t="n">
        <f aca="false">COUNTIFS(Logbook!$K$2:$K$501,$A78,Logbook!$M$2:$M$501,"A")</f>
        <v>0</v>
      </c>
      <c r="E78" s="14" t="n">
        <f aca="false">COUNTIFS(Logbook!$K$2:$K$501,$A78,Logbook!$M$2:$M$501,"S-TS")</f>
        <v>0</v>
      </c>
      <c r="F78" s="14" t="n">
        <f aca="false">COUNTIFS(Logbook!$K$2:$K$501,$A78,Logbook!$M$2:$M$501,"S-TU")</f>
        <v>0</v>
      </c>
      <c r="G78" s="14" t="n">
        <f aca="false">COUNTIFS(Logbook!$K$2:$K$501,$A78,Logbook!$M$2:$M$501,"P")</f>
        <v>0</v>
      </c>
      <c r="H78" s="14" t="n">
        <f aca="false">COUNTIFS(Logbook!$K$2:$K$501,$A78,Logbook!$M$2:$M$501,"T")</f>
        <v>0</v>
      </c>
      <c r="I78" s="14" t="n">
        <f aca="false">SUM(B78:H78)</f>
        <v>0</v>
      </c>
      <c r="J78" s="11"/>
    </row>
    <row r="79" customFormat="false" ht="15" hidden="false" customHeight="false" outlineLevel="0" collapsed="false">
      <c r="A79" s="14" t="s">
        <v>155</v>
      </c>
      <c r="B79" s="14" t="n">
        <f aca="false">COUNTIFS(Logbook!$K$2:$K$501,$A79,Logbook!$M$2:$M$501,"O")</f>
        <v>0</v>
      </c>
      <c r="C79" s="14" t="n">
        <f aca="false">COUNTIFS(Logbook!$K$2:$K$501,$A79,Logbook!$M$2:$M$501,"A2")</f>
        <v>0</v>
      </c>
      <c r="D79" s="14" t="n">
        <f aca="false">COUNTIFS(Logbook!$K$2:$K$501,$A79,Logbook!$M$2:$M$501,"A")</f>
        <v>0</v>
      </c>
      <c r="E79" s="14" t="n">
        <f aca="false">COUNTIFS(Logbook!$K$2:$K$501,$A79,Logbook!$M$2:$M$501,"S-TS")</f>
        <v>0</v>
      </c>
      <c r="F79" s="14" t="n">
        <f aca="false">COUNTIFS(Logbook!$K$2:$K$501,$A79,Logbook!$M$2:$M$501,"S-TU")</f>
        <v>0</v>
      </c>
      <c r="G79" s="14" t="n">
        <f aca="false">COUNTIFS(Logbook!$K$2:$K$501,$A79,Logbook!$M$2:$M$501,"P")</f>
        <v>0</v>
      </c>
      <c r="H79" s="14" t="n">
        <f aca="false">COUNTIFS(Logbook!$K$2:$K$501,$A79,Logbook!$M$2:$M$501,"T")</f>
        <v>0</v>
      </c>
      <c r="I79" s="14" t="n">
        <f aca="false">SUM(B79:H79)</f>
        <v>0</v>
      </c>
      <c r="J79" s="11"/>
    </row>
    <row r="80" customFormat="false" ht="15" hidden="false" customHeight="false" outlineLevel="0" collapsed="false">
      <c r="A80" s="14" t="s">
        <v>156</v>
      </c>
      <c r="B80" s="14" t="n">
        <f aca="false">COUNTIFS(Logbook!$K$2:$K$501,$A80,Logbook!$M$2:$M$501,"O")</f>
        <v>0</v>
      </c>
      <c r="C80" s="14" t="n">
        <f aca="false">COUNTIFS(Logbook!$K$2:$K$501,$A80,Logbook!$M$2:$M$501,"A2")</f>
        <v>0</v>
      </c>
      <c r="D80" s="14" t="n">
        <f aca="false">COUNTIFS(Logbook!$K$2:$K$501,$A80,Logbook!$M$2:$M$501,"A")</f>
        <v>0</v>
      </c>
      <c r="E80" s="14" t="n">
        <f aca="false">COUNTIFS(Logbook!$K$2:$K$501,$A80,Logbook!$M$2:$M$501,"S-TS")</f>
        <v>0</v>
      </c>
      <c r="F80" s="14" t="n">
        <f aca="false">COUNTIFS(Logbook!$K$2:$K$501,$A80,Logbook!$M$2:$M$501,"S-TU")</f>
        <v>0</v>
      </c>
      <c r="G80" s="14" t="n">
        <f aca="false">COUNTIFS(Logbook!$K$2:$K$501,$A80,Logbook!$M$2:$M$501,"P")</f>
        <v>0</v>
      </c>
      <c r="H80" s="14" t="n">
        <f aca="false">COUNTIFS(Logbook!$K$2:$K$501,$A80,Logbook!$M$2:$M$501,"T")</f>
        <v>0</v>
      </c>
      <c r="I80" s="14" t="n">
        <f aca="false">SUM(B80:H80)</f>
        <v>0</v>
      </c>
      <c r="J80" s="11"/>
    </row>
    <row r="81" customFormat="false" ht="15" hidden="false" customHeight="false" outlineLevel="0" collapsed="false">
      <c r="A81" s="14" t="s">
        <v>157</v>
      </c>
      <c r="B81" s="14" t="n">
        <f aca="false">COUNTIFS(Logbook!$K$2:$K$501,$A81,Logbook!$M$2:$M$501,"O")</f>
        <v>0</v>
      </c>
      <c r="C81" s="14" t="n">
        <f aca="false">COUNTIFS(Logbook!$K$2:$K$501,$A81,Logbook!$M$2:$M$501,"A2")</f>
        <v>0</v>
      </c>
      <c r="D81" s="14" t="n">
        <f aca="false">COUNTIFS(Logbook!$K$2:$K$501,$A81,Logbook!$M$2:$M$501,"A")</f>
        <v>0</v>
      </c>
      <c r="E81" s="14" t="n">
        <f aca="false">COUNTIFS(Logbook!$K$2:$K$501,$A81,Logbook!$M$2:$M$501,"S-TS")</f>
        <v>0</v>
      </c>
      <c r="F81" s="14" t="n">
        <f aca="false">COUNTIFS(Logbook!$K$2:$K$501,$A81,Logbook!$M$2:$M$501,"S-TU")</f>
        <v>0</v>
      </c>
      <c r="G81" s="14" t="n">
        <f aca="false">COUNTIFS(Logbook!$K$2:$K$501,$A81,Logbook!$M$2:$M$501,"P")</f>
        <v>0</v>
      </c>
      <c r="H81" s="14" t="n">
        <f aca="false">COUNTIFS(Logbook!$K$2:$K$501,$A81,Logbook!$M$2:$M$501,"T")</f>
        <v>0</v>
      </c>
      <c r="I81" s="14" t="n">
        <f aca="false">SUM(B81:H81)</f>
        <v>0</v>
      </c>
      <c r="J81" s="11"/>
    </row>
    <row r="82" customFormat="false" ht="15" hidden="false" customHeight="false" outlineLevel="0" collapsed="false">
      <c r="A82" s="14" t="s">
        <v>158</v>
      </c>
      <c r="B82" s="14" t="n">
        <f aca="false">COUNTIFS(Logbook!$K$2:$K$501,$A82,Logbook!$M$2:$M$501,"O")</f>
        <v>0</v>
      </c>
      <c r="C82" s="14" t="n">
        <f aca="false">COUNTIFS(Logbook!$K$2:$K$501,$A82,Logbook!$M$2:$M$501,"A2")</f>
        <v>0</v>
      </c>
      <c r="D82" s="14" t="n">
        <f aca="false">COUNTIFS(Logbook!$K$2:$K$501,$A82,Logbook!$M$2:$M$501,"A")</f>
        <v>0</v>
      </c>
      <c r="E82" s="14" t="n">
        <f aca="false">COUNTIFS(Logbook!$K$2:$K$501,$A82,Logbook!$M$2:$M$501,"S-TS")</f>
        <v>0</v>
      </c>
      <c r="F82" s="14" t="n">
        <f aca="false">COUNTIFS(Logbook!$K$2:$K$501,$A82,Logbook!$M$2:$M$501,"S-TU")</f>
        <v>0</v>
      </c>
      <c r="G82" s="14" t="n">
        <f aca="false">COUNTIFS(Logbook!$K$2:$K$501,$A82,Logbook!$M$2:$M$501,"P")</f>
        <v>0</v>
      </c>
      <c r="H82" s="14" t="n">
        <f aca="false">COUNTIFS(Logbook!$K$2:$K$501,$A82,Logbook!$M$2:$M$501,"T")</f>
        <v>0</v>
      </c>
      <c r="I82" s="14" t="n">
        <f aca="false">SUM(B82:H82)</f>
        <v>0</v>
      </c>
      <c r="J82" s="11"/>
    </row>
    <row r="83" customFormat="false" ht="15" hidden="false" customHeight="false" outlineLevel="0" collapsed="false">
      <c r="A83" s="14" t="s">
        <v>159</v>
      </c>
      <c r="B83" s="14" t="n">
        <f aca="false">COUNTIFS(Logbook!$K$2:$K$501,$A83,Logbook!$M$2:$M$501,"O")</f>
        <v>0</v>
      </c>
      <c r="C83" s="14" t="n">
        <f aca="false">COUNTIFS(Logbook!$K$2:$K$501,$A83,Logbook!$M$2:$M$501,"A2")</f>
        <v>0</v>
      </c>
      <c r="D83" s="14" t="n">
        <f aca="false">COUNTIFS(Logbook!$K$2:$K$501,$A83,Logbook!$M$2:$M$501,"A")</f>
        <v>0</v>
      </c>
      <c r="E83" s="14" t="n">
        <f aca="false">COUNTIFS(Logbook!$K$2:$K$501,$A83,Logbook!$M$2:$M$501,"S-TS")</f>
        <v>0</v>
      </c>
      <c r="F83" s="14" t="n">
        <f aca="false">COUNTIFS(Logbook!$K$2:$K$501,$A83,Logbook!$M$2:$M$501,"S-TU")</f>
        <v>0</v>
      </c>
      <c r="G83" s="14" t="n">
        <f aca="false">COUNTIFS(Logbook!$K$2:$K$501,$A83,Logbook!$M$2:$M$501,"P")</f>
        <v>0</v>
      </c>
      <c r="H83" s="14" t="n">
        <f aca="false">COUNTIFS(Logbook!$K$2:$K$501,$A83,Logbook!$M$2:$M$501,"T")</f>
        <v>0</v>
      </c>
      <c r="I83" s="14" t="n">
        <f aca="false">SUM(B83:H83)</f>
        <v>0</v>
      </c>
      <c r="J83" s="11"/>
    </row>
    <row r="84" customFormat="false" ht="15" hidden="false" customHeight="false" outlineLevel="0" collapsed="false">
      <c r="A84" s="14" t="s">
        <v>160</v>
      </c>
      <c r="B84" s="14" t="n">
        <f aca="false">COUNTIFS(Logbook!$K$2:$K$501,$A84,Logbook!$M$2:$M$501,"O")</f>
        <v>0</v>
      </c>
      <c r="C84" s="14" t="n">
        <f aca="false">COUNTIFS(Logbook!$K$2:$K$501,$A84,Logbook!$M$2:$M$501,"A2")</f>
        <v>0</v>
      </c>
      <c r="D84" s="14" t="n">
        <f aca="false">COUNTIFS(Logbook!$K$2:$K$501,$A84,Logbook!$M$2:$M$501,"A")</f>
        <v>0</v>
      </c>
      <c r="E84" s="14" t="n">
        <f aca="false">COUNTIFS(Logbook!$K$2:$K$501,$A84,Logbook!$M$2:$M$501,"S-TS")</f>
        <v>0</v>
      </c>
      <c r="F84" s="14" t="n">
        <f aca="false">COUNTIFS(Logbook!$K$2:$K$501,$A84,Logbook!$M$2:$M$501,"S-TU")</f>
        <v>0</v>
      </c>
      <c r="G84" s="14" t="n">
        <f aca="false">COUNTIFS(Logbook!$K$2:$K$501,$A84,Logbook!$M$2:$M$501,"P")</f>
        <v>0</v>
      </c>
      <c r="H84" s="14" t="n">
        <f aca="false">COUNTIFS(Logbook!$K$2:$K$501,$A84,Logbook!$M$2:$M$501,"T")</f>
        <v>0</v>
      </c>
      <c r="I84" s="14" t="n">
        <f aca="false">SUM(B84:H84)</f>
        <v>0</v>
      </c>
      <c r="J84" s="11"/>
    </row>
    <row r="85" customFormat="false" ht="15" hidden="false" customHeight="false" outlineLevel="0" collapsed="false">
      <c r="A85" s="14" t="s">
        <v>161</v>
      </c>
      <c r="B85" s="14" t="n">
        <f aca="false">COUNTIFS(Logbook!$K$2:$K$501,$A85,Logbook!$M$2:$M$501,"O")</f>
        <v>0</v>
      </c>
      <c r="C85" s="14" t="n">
        <f aca="false">COUNTIFS(Logbook!$K$2:$K$501,$A85,Logbook!$M$2:$M$501,"A2")</f>
        <v>0</v>
      </c>
      <c r="D85" s="14" t="n">
        <f aca="false">COUNTIFS(Logbook!$K$2:$K$501,$A85,Logbook!$M$2:$M$501,"A")</f>
        <v>0</v>
      </c>
      <c r="E85" s="14" t="n">
        <f aca="false">COUNTIFS(Logbook!$K$2:$K$501,$A85,Logbook!$M$2:$M$501,"S-TS")</f>
        <v>0</v>
      </c>
      <c r="F85" s="14" t="n">
        <f aca="false">COUNTIFS(Logbook!$K$2:$K$501,$A85,Logbook!$M$2:$M$501,"S-TU")</f>
        <v>0</v>
      </c>
      <c r="G85" s="14" t="n">
        <f aca="false">COUNTIFS(Logbook!$K$2:$K$501,$A85,Logbook!$M$2:$M$501,"P")</f>
        <v>0</v>
      </c>
      <c r="H85" s="14" t="n">
        <f aca="false">COUNTIFS(Logbook!$K$2:$K$501,$A85,Logbook!$M$2:$M$501,"T")</f>
        <v>0</v>
      </c>
      <c r="I85" s="14" t="n">
        <f aca="false">SUM(B85:H85)</f>
        <v>0</v>
      </c>
      <c r="J85" s="11"/>
    </row>
    <row r="86" customFormat="false" ht="15" hidden="false" customHeight="false" outlineLevel="0" collapsed="false">
      <c r="A86" s="14" t="s">
        <v>162</v>
      </c>
      <c r="B86" s="14" t="n">
        <f aca="false">COUNTIFS(Logbook!$K$2:$K$501,$A86,Logbook!$M$2:$M$501,"O")</f>
        <v>0</v>
      </c>
      <c r="C86" s="14" t="n">
        <f aca="false">COUNTIFS(Logbook!$K$2:$K$501,$A86,Logbook!$M$2:$M$501,"A2")</f>
        <v>0</v>
      </c>
      <c r="D86" s="14" t="n">
        <f aca="false">COUNTIFS(Logbook!$K$2:$K$501,$A86,Logbook!$M$2:$M$501,"A")</f>
        <v>0</v>
      </c>
      <c r="E86" s="14" t="n">
        <f aca="false">COUNTIFS(Logbook!$K$2:$K$501,$A86,Logbook!$M$2:$M$501,"S-TS")</f>
        <v>0</v>
      </c>
      <c r="F86" s="14" t="n">
        <f aca="false">COUNTIFS(Logbook!$K$2:$K$501,$A86,Logbook!$M$2:$M$501,"S-TU")</f>
        <v>0</v>
      </c>
      <c r="G86" s="14" t="n">
        <f aca="false">COUNTIFS(Logbook!$K$2:$K$501,$A86,Logbook!$M$2:$M$501,"P")</f>
        <v>0</v>
      </c>
      <c r="H86" s="14" t="n">
        <f aca="false">COUNTIFS(Logbook!$K$2:$K$501,$A86,Logbook!$M$2:$M$501,"T")</f>
        <v>0</v>
      </c>
      <c r="I86" s="14" t="n">
        <f aca="false">SUM(B86:H86)</f>
        <v>0</v>
      </c>
      <c r="J86" s="11"/>
    </row>
    <row r="87" customFormat="false" ht="15" hidden="false" customHeight="false" outlineLevel="0" collapsed="false">
      <c r="A87" s="14" t="s">
        <v>163</v>
      </c>
      <c r="B87" s="14" t="n">
        <f aca="false">COUNTIFS(Logbook!$K$2:$K$501,$A87,Logbook!$M$2:$M$501,"O")</f>
        <v>0</v>
      </c>
      <c r="C87" s="14" t="n">
        <f aca="false">COUNTIFS(Logbook!$K$2:$K$501,$A87,Logbook!$M$2:$M$501,"A2")</f>
        <v>0</v>
      </c>
      <c r="D87" s="14" t="n">
        <f aca="false">COUNTIFS(Logbook!$K$2:$K$501,$A87,Logbook!$M$2:$M$501,"A")</f>
        <v>0</v>
      </c>
      <c r="E87" s="14" t="n">
        <f aca="false">COUNTIFS(Logbook!$K$2:$K$501,$A87,Logbook!$M$2:$M$501,"S-TS")</f>
        <v>0</v>
      </c>
      <c r="F87" s="14" t="n">
        <f aca="false">COUNTIFS(Logbook!$K$2:$K$501,$A87,Logbook!$M$2:$M$501,"S-TU")</f>
        <v>0</v>
      </c>
      <c r="G87" s="14" t="n">
        <f aca="false">COUNTIFS(Logbook!$K$2:$K$501,$A87,Logbook!$M$2:$M$501,"P")</f>
        <v>0</v>
      </c>
      <c r="H87" s="14" t="n">
        <f aca="false">COUNTIFS(Logbook!$K$2:$K$501,$A87,Logbook!$M$2:$M$501,"T")</f>
        <v>0</v>
      </c>
      <c r="I87" s="14" t="n">
        <f aca="false">SUM(B87:H87)</f>
        <v>0</v>
      </c>
      <c r="J87" s="11"/>
    </row>
    <row r="88" customFormat="false" ht="15" hidden="false" customHeight="false" outlineLevel="0" collapsed="false">
      <c r="A88" s="14" t="s">
        <v>164</v>
      </c>
      <c r="B88" s="14" t="n">
        <f aca="false">COUNTIFS(Logbook!$K$2:$K$501,$A88,Logbook!$M$2:$M$501,"O")</f>
        <v>0</v>
      </c>
      <c r="C88" s="14" t="n">
        <f aca="false">COUNTIFS(Logbook!$K$2:$K$501,$A88,Logbook!$M$2:$M$501,"A2")</f>
        <v>0</v>
      </c>
      <c r="D88" s="14" t="n">
        <f aca="false">COUNTIFS(Logbook!$K$2:$K$501,$A88,Logbook!$M$2:$M$501,"A")</f>
        <v>0</v>
      </c>
      <c r="E88" s="14" t="n">
        <f aca="false">COUNTIFS(Logbook!$K$2:$K$501,$A88,Logbook!$M$2:$M$501,"S-TS")</f>
        <v>0</v>
      </c>
      <c r="F88" s="14" t="n">
        <f aca="false">COUNTIFS(Logbook!$K$2:$K$501,$A88,Logbook!$M$2:$M$501,"S-TU")</f>
        <v>0</v>
      </c>
      <c r="G88" s="14" t="n">
        <f aca="false">COUNTIFS(Logbook!$K$2:$K$501,$A88,Logbook!$M$2:$M$501,"P")</f>
        <v>0</v>
      </c>
      <c r="H88" s="14" t="n">
        <f aca="false">COUNTIFS(Logbook!$K$2:$K$501,$A88,Logbook!$M$2:$M$501,"T")</f>
        <v>0</v>
      </c>
      <c r="I88" s="14" t="n">
        <f aca="false">SUM(B88:H88)</f>
        <v>0</v>
      </c>
      <c r="J88" s="11"/>
    </row>
    <row r="89" customFormat="false" ht="15" hidden="false" customHeight="false" outlineLevel="0" collapsed="false">
      <c r="A89" s="14" t="s">
        <v>165</v>
      </c>
      <c r="B89" s="14" t="n">
        <f aca="false">COUNTIFS(Logbook!$K$2:$K$501,$A89,Logbook!$M$2:$M$501,"O")</f>
        <v>0</v>
      </c>
      <c r="C89" s="14" t="n">
        <f aca="false">COUNTIFS(Logbook!$K$2:$K$501,$A89,Logbook!$M$2:$M$501,"A2")</f>
        <v>0</v>
      </c>
      <c r="D89" s="14" t="n">
        <f aca="false">COUNTIFS(Logbook!$K$2:$K$501,$A89,Logbook!$M$2:$M$501,"A")</f>
        <v>0</v>
      </c>
      <c r="E89" s="14" t="n">
        <f aca="false">COUNTIFS(Logbook!$K$2:$K$501,$A89,Logbook!$M$2:$M$501,"S-TS")</f>
        <v>0</v>
      </c>
      <c r="F89" s="14" t="n">
        <f aca="false">COUNTIFS(Logbook!$K$2:$K$501,$A89,Logbook!$M$2:$M$501,"S-TU")</f>
        <v>0</v>
      </c>
      <c r="G89" s="14" t="n">
        <f aca="false">COUNTIFS(Logbook!$K$2:$K$501,$A89,Logbook!$M$2:$M$501,"P")</f>
        <v>0</v>
      </c>
      <c r="H89" s="14" t="n">
        <f aca="false">COUNTIFS(Logbook!$K$2:$K$501,$A89,Logbook!$M$2:$M$501,"T")</f>
        <v>0</v>
      </c>
      <c r="I89" s="14" t="n">
        <f aca="false">SUM(B89:H89)</f>
        <v>0</v>
      </c>
      <c r="J89" s="11"/>
    </row>
    <row r="90" customFormat="false" ht="15" hidden="false" customHeight="false" outlineLevel="0" collapsed="false">
      <c r="A90" s="14" t="s">
        <v>166</v>
      </c>
      <c r="B90" s="14" t="n">
        <f aca="false">COUNTIFS(Logbook!$K$2:$K$501,$A90,Logbook!$M$2:$M$501,"O")</f>
        <v>0</v>
      </c>
      <c r="C90" s="14" t="n">
        <f aca="false">COUNTIFS(Logbook!$K$2:$K$501,$A90,Logbook!$M$2:$M$501,"A2")</f>
        <v>0</v>
      </c>
      <c r="D90" s="14" t="n">
        <f aca="false">COUNTIFS(Logbook!$K$2:$K$501,$A90,Logbook!$M$2:$M$501,"A")</f>
        <v>0</v>
      </c>
      <c r="E90" s="14" t="n">
        <f aca="false">COUNTIFS(Logbook!$K$2:$K$501,$A90,Logbook!$M$2:$M$501,"S-TS")</f>
        <v>0</v>
      </c>
      <c r="F90" s="14" t="n">
        <f aca="false">COUNTIFS(Logbook!$K$2:$K$501,$A90,Logbook!$M$2:$M$501,"S-TU")</f>
        <v>0</v>
      </c>
      <c r="G90" s="14" t="n">
        <f aca="false">COUNTIFS(Logbook!$K$2:$K$501,$A90,Logbook!$M$2:$M$501,"P")</f>
        <v>0</v>
      </c>
      <c r="H90" s="14" t="n">
        <f aca="false">COUNTIFS(Logbook!$K$2:$K$501,$A90,Logbook!$M$2:$M$501,"T")</f>
        <v>0</v>
      </c>
      <c r="I90" s="14" t="n">
        <f aca="false">SUM(B90:H90)</f>
        <v>0</v>
      </c>
      <c r="J90" s="11"/>
    </row>
    <row r="91" customFormat="false" ht="15" hidden="false" customHeight="false" outlineLevel="0" collapsed="false">
      <c r="A91" s="14" t="s">
        <v>167</v>
      </c>
      <c r="B91" s="14" t="n">
        <f aca="false">COUNTIFS(Logbook!$K$2:$K$501,$A91,Logbook!$M$2:$M$501,"O")</f>
        <v>0</v>
      </c>
      <c r="C91" s="14" t="n">
        <f aca="false">COUNTIFS(Logbook!$K$2:$K$501,$A91,Logbook!$M$2:$M$501,"A2")</f>
        <v>0</v>
      </c>
      <c r="D91" s="14" t="n">
        <f aca="false">COUNTIFS(Logbook!$K$2:$K$501,$A91,Logbook!$M$2:$M$501,"A")</f>
        <v>0</v>
      </c>
      <c r="E91" s="14" t="n">
        <f aca="false">COUNTIFS(Logbook!$K$2:$K$501,$A91,Logbook!$M$2:$M$501,"S-TS")</f>
        <v>0</v>
      </c>
      <c r="F91" s="14" t="n">
        <f aca="false">COUNTIFS(Logbook!$K$2:$K$501,$A91,Logbook!$M$2:$M$501,"S-TU")</f>
        <v>0</v>
      </c>
      <c r="G91" s="14" t="n">
        <f aca="false">COUNTIFS(Logbook!$K$2:$K$501,$A91,Logbook!$M$2:$M$501,"P")</f>
        <v>0</v>
      </c>
      <c r="H91" s="14" t="n">
        <f aca="false">COUNTIFS(Logbook!$K$2:$K$501,$A91,Logbook!$M$2:$M$501,"T")</f>
        <v>0</v>
      </c>
      <c r="I91" s="14" t="n">
        <f aca="false">SUM(B91:H91)</f>
        <v>0</v>
      </c>
      <c r="J91" s="11"/>
    </row>
    <row r="92" customFormat="false" ht="15" hidden="false" customHeight="false" outlineLevel="0" collapsed="false">
      <c r="A92" s="14" t="s">
        <v>168</v>
      </c>
      <c r="B92" s="14" t="n">
        <f aca="false">COUNTIFS(Logbook!$K$2:$K$501,$A92,Logbook!$M$2:$M$501,"O")</f>
        <v>0</v>
      </c>
      <c r="C92" s="14" t="n">
        <f aca="false">COUNTIFS(Logbook!$K$2:$K$501,$A92,Logbook!$M$2:$M$501,"A2")</f>
        <v>0</v>
      </c>
      <c r="D92" s="14" t="n">
        <f aca="false">COUNTIFS(Logbook!$K$2:$K$501,$A92,Logbook!$M$2:$M$501,"A")</f>
        <v>0</v>
      </c>
      <c r="E92" s="14" t="n">
        <f aca="false">COUNTIFS(Logbook!$K$2:$K$501,$A92,Logbook!$M$2:$M$501,"S-TS")</f>
        <v>0</v>
      </c>
      <c r="F92" s="14" t="n">
        <f aca="false">COUNTIFS(Logbook!$K$2:$K$501,$A92,Logbook!$M$2:$M$501,"S-TU")</f>
        <v>0</v>
      </c>
      <c r="G92" s="14" t="n">
        <f aca="false">COUNTIFS(Logbook!$K$2:$K$501,$A92,Logbook!$M$2:$M$501,"P")</f>
        <v>0</v>
      </c>
      <c r="H92" s="14" t="n">
        <f aca="false">COUNTIFS(Logbook!$K$2:$K$501,$A92,Logbook!$M$2:$M$501,"T")</f>
        <v>0</v>
      </c>
      <c r="I92" s="14" t="n">
        <f aca="false">SUM(B92:H92)</f>
        <v>0</v>
      </c>
      <c r="J92" s="11"/>
    </row>
    <row r="93" customFormat="false" ht="15" hidden="false" customHeight="false" outlineLevel="0" collapsed="false">
      <c r="A93" s="14" t="s">
        <v>169</v>
      </c>
      <c r="B93" s="14" t="n">
        <f aca="false">COUNTIFS(Logbook!$K$2:$K$501,$A93,Logbook!$M$2:$M$501,"O")</f>
        <v>0</v>
      </c>
      <c r="C93" s="14" t="n">
        <f aca="false">COUNTIFS(Logbook!$K$2:$K$501,$A93,Logbook!$M$2:$M$501,"A2")</f>
        <v>0</v>
      </c>
      <c r="D93" s="14" t="n">
        <f aca="false">COUNTIFS(Logbook!$K$2:$K$501,$A93,Logbook!$M$2:$M$501,"A")</f>
        <v>0</v>
      </c>
      <c r="E93" s="14" t="n">
        <f aca="false">COUNTIFS(Logbook!$K$2:$K$501,$A93,Logbook!$M$2:$M$501,"S-TS")</f>
        <v>0</v>
      </c>
      <c r="F93" s="14" t="n">
        <f aca="false">COUNTIFS(Logbook!$K$2:$K$501,$A93,Logbook!$M$2:$M$501,"S-TU")</f>
        <v>0</v>
      </c>
      <c r="G93" s="14" t="n">
        <f aca="false">COUNTIFS(Logbook!$K$2:$K$501,$A93,Logbook!$M$2:$M$501,"P")</f>
        <v>0</v>
      </c>
      <c r="H93" s="14" t="n">
        <f aca="false">COUNTIFS(Logbook!$K$2:$K$501,$A93,Logbook!$M$2:$M$501,"T")</f>
        <v>0</v>
      </c>
      <c r="I93" s="14" t="n">
        <f aca="false">SUM(B93:H93)</f>
        <v>0</v>
      </c>
      <c r="J93" s="11"/>
    </row>
    <row r="94" customFormat="false" ht="15" hidden="false" customHeight="false" outlineLevel="0" collapsed="false">
      <c r="A94" s="14" t="s">
        <v>170</v>
      </c>
      <c r="B94" s="14" t="n">
        <f aca="false">COUNTIFS(Logbook!$K$2:$K$501,$A94,Logbook!$M$2:$M$501,"O")</f>
        <v>0</v>
      </c>
      <c r="C94" s="14" t="n">
        <f aca="false">COUNTIFS(Logbook!$K$2:$K$501,$A94,Logbook!$M$2:$M$501,"A2")</f>
        <v>0</v>
      </c>
      <c r="D94" s="14" t="n">
        <f aca="false">COUNTIFS(Logbook!$K$2:$K$501,$A94,Logbook!$M$2:$M$501,"A")</f>
        <v>0</v>
      </c>
      <c r="E94" s="14" t="n">
        <f aca="false">COUNTIFS(Logbook!$K$2:$K$501,$A94,Logbook!$M$2:$M$501,"S-TS")</f>
        <v>0</v>
      </c>
      <c r="F94" s="14" t="n">
        <f aca="false">COUNTIFS(Logbook!$K$2:$K$501,$A94,Logbook!$M$2:$M$501,"S-TU")</f>
        <v>0</v>
      </c>
      <c r="G94" s="14" t="n">
        <f aca="false">COUNTIFS(Logbook!$K$2:$K$501,$A94,Logbook!$M$2:$M$501,"P")</f>
        <v>0</v>
      </c>
      <c r="H94" s="14" t="n">
        <f aca="false">COUNTIFS(Logbook!$K$2:$K$501,$A94,Logbook!$M$2:$M$501,"T")</f>
        <v>0</v>
      </c>
      <c r="I94" s="14" t="n">
        <f aca="false">SUM(B94:H94)</f>
        <v>0</v>
      </c>
      <c r="J94" s="11"/>
    </row>
    <row r="95" customFormat="false" ht="15" hidden="false" customHeight="false" outlineLevel="0" collapsed="false">
      <c r="A95" s="14" t="s">
        <v>171</v>
      </c>
      <c r="B95" s="14" t="n">
        <f aca="false">COUNTIFS(Logbook!$K$2:$K$501,$A95,Logbook!$M$2:$M$501,"O")</f>
        <v>0</v>
      </c>
      <c r="C95" s="14" t="n">
        <f aca="false">COUNTIFS(Logbook!$K$2:$K$501,$A95,Logbook!$M$2:$M$501,"A2")</f>
        <v>0</v>
      </c>
      <c r="D95" s="14" t="n">
        <f aca="false">COUNTIFS(Logbook!$K$2:$K$501,$A95,Logbook!$M$2:$M$501,"A")</f>
        <v>0</v>
      </c>
      <c r="E95" s="14" t="n">
        <f aca="false">COUNTIFS(Logbook!$K$2:$K$501,$A95,Logbook!$M$2:$M$501,"S-TS")</f>
        <v>0</v>
      </c>
      <c r="F95" s="14" t="n">
        <f aca="false">COUNTIFS(Logbook!$K$2:$K$501,$A95,Logbook!$M$2:$M$501,"S-TU")</f>
        <v>0</v>
      </c>
      <c r="G95" s="14" t="n">
        <f aca="false">COUNTIFS(Logbook!$K$2:$K$501,$A95,Logbook!$M$2:$M$501,"P")</f>
        <v>0</v>
      </c>
      <c r="H95" s="14" t="n">
        <f aca="false">COUNTIFS(Logbook!$K$2:$K$501,$A95,Logbook!$M$2:$M$501,"T")</f>
        <v>0</v>
      </c>
      <c r="I95" s="14" t="n">
        <f aca="false">SUM(B95:H95)</f>
        <v>0</v>
      </c>
      <c r="J95" s="11"/>
    </row>
    <row r="96" customFormat="false" ht="15" hidden="false" customHeight="false" outlineLevel="0" collapsed="false">
      <c r="A96" s="14" t="s">
        <v>172</v>
      </c>
      <c r="B96" s="14" t="n">
        <f aca="false">COUNTIFS(Logbook!$K$2:$K$501,$A96,Logbook!$M$2:$M$501,"O")</f>
        <v>0</v>
      </c>
      <c r="C96" s="14" t="n">
        <f aca="false">COUNTIFS(Logbook!$K$2:$K$501,$A96,Logbook!$M$2:$M$501,"A2")</f>
        <v>0</v>
      </c>
      <c r="D96" s="14" t="n">
        <f aca="false">COUNTIFS(Logbook!$K$2:$K$501,$A96,Logbook!$M$2:$M$501,"A")</f>
        <v>0</v>
      </c>
      <c r="E96" s="14" t="n">
        <f aca="false">COUNTIFS(Logbook!$K$2:$K$501,$A96,Logbook!$M$2:$M$501,"S-TS")</f>
        <v>0</v>
      </c>
      <c r="F96" s="14" t="n">
        <f aca="false">COUNTIFS(Logbook!$K$2:$K$501,$A96,Logbook!$M$2:$M$501,"S-TU")</f>
        <v>0</v>
      </c>
      <c r="G96" s="14" t="n">
        <f aca="false">COUNTIFS(Logbook!$K$2:$K$501,$A96,Logbook!$M$2:$M$501,"P")</f>
        <v>0</v>
      </c>
      <c r="H96" s="14" t="n">
        <f aca="false">COUNTIFS(Logbook!$K$2:$K$501,$A96,Logbook!$M$2:$M$501,"T")</f>
        <v>0</v>
      </c>
      <c r="I96" s="14" t="n">
        <f aca="false">SUM(B96:H96)</f>
        <v>0</v>
      </c>
      <c r="J96" s="11"/>
    </row>
    <row r="97" customFormat="false" ht="15" hidden="false" customHeight="false" outlineLevel="0" collapsed="false">
      <c r="A97" s="14" t="s">
        <v>173</v>
      </c>
      <c r="B97" s="14" t="n">
        <f aca="false">COUNTIFS(Logbook!$K$2:$K$501,$A97,Logbook!$M$2:$M$501,"O")</f>
        <v>0</v>
      </c>
      <c r="C97" s="14" t="n">
        <f aca="false">COUNTIFS(Logbook!$K$2:$K$501,$A97,Logbook!$M$2:$M$501,"A2")</f>
        <v>0</v>
      </c>
      <c r="D97" s="14" t="n">
        <f aca="false">COUNTIFS(Logbook!$K$2:$K$501,$A97,Logbook!$M$2:$M$501,"A")</f>
        <v>0</v>
      </c>
      <c r="E97" s="14" t="n">
        <f aca="false">COUNTIFS(Logbook!$K$2:$K$501,$A97,Logbook!$M$2:$M$501,"S-TS")</f>
        <v>0</v>
      </c>
      <c r="F97" s="14" t="n">
        <f aca="false">COUNTIFS(Logbook!$K$2:$K$501,$A97,Logbook!$M$2:$M$501,"S-TU")</f>
        <v>0</v>
      </c>
      <c r="G97" s="14" t="n">
        <f aca="false">COUNTIFS(Logbook!$K$2:$K$501,$A97,Logbook!$M$2:$M$501,"P")</f>
        <v>0</v>
      </c>
      <c r="H97" s="14" t="n">
        <f aca="false">COUNTIFS(Logbook!$K$2:$K$501,$A97,Logbook!$M$2:$M$501,"T")</f>
        <v>0</v>
      </c>
      <c r="I97" s="14" t="n">
        <f aca="false">SUM(B97:H97)</f>
        <v>0</v>
      </c>
      <c r="J97" s="11"/>
    </row>
    <row r="98" customFormat="false" ht="15" hidden="false" customHeight="false" outlineLevel="0" collapsed="false">
      <c r="A98" s="14" t="s">
        <v>174</v>
      </c>
      <c r="B98" s="14" t="n">
        <f aca="false">COUNTIFS(Logbook!$K$2:$K$501,$A98,Logbook!$M$2:$M$501,"O")</f>
        <v>0</v>
      </c>
      <c r="C98" s="14" t="n">
        <f aca="false">COUNTIFS(Logbook!$K$2:$K$501,$A98,Logbook!$M$2:$M$501,"A2")</f>
        <v>0</v>
      </c>
      <c r="D98" s="14" t="n">
        <f aca="false">COUNTIFS(Logbook!$K$2:$K$501,$A98,Logbook!$M$2:$M$501,"A")</f>
        <v>0</v>
      </c>
      <c r="E98" s="14" t="n">
        <f aca="false">COUNTIFS(Logbook!$K$2:$K$501,$A98,Logbook!$M$2:$M$501,"S-TS")</f>
        <v>0</v>
      </c>
      <c r="F98" s="14" t="n">
        <f aca="false">COUNTIFS(Logbook!$K$2:$K$501,$A98,Logbook!$M$2:$M$501,"S-TU")</f>
        <v>0</v>
      </c>
      <c r="G98" s="14" t="n">
        <f aca="false">COUNTIFS(Logbook!$K$2:$K$501,$A98,Logbook!$M$2:$M$501,"P")</f>
        <v>0</v>
      </c>
      <c r="H98" s="14" t="n">
        <f aca="false">COUNTIFS(Logbook!$K$2:$K$501,$A98,Logbook!$M$2:$M$501,"T")</f>
        <v>0</v>
      </c>
      <c r="I98" s="14" t="n">
        <f aca="false">SUM(B98:H98)</f>
        <v>0</v>
      </c>
      <c r="J98" s="11"/>
    </row>
    <row r="99" customFormat="false" ht="15" hidden="false" customHeight="false" outlineLevel="0" collapsed="false">
      <c r="A99" s="14" t="s">
        <v>175</v>
      </c>
      <c r="B99" s="14" t="n">
        <f aca="false">COUNTIFS(Logbook!$K$2:$K$501,$A99,Logbook!$M$2:$M$501,"O")</f>
        <v>0</v>
      </c>
      <c r="C99" s="14" t="n">
        <f aca="false">COUNTIFS(Logbook!$K$2:$K$501,$A99,Logbook!$M$2:$M$501,"A2")</f>
        <v>0</v>
      </c>
      <c r="D99" s="14" t="n">
        <f aca="false">COUNTIFS(Logbook!$K$2:$K$501,$A99,Logbook!$M$2:$M$501,"A")</f>
        <v>0</v>
      </c>
      <c r="E99" s="14" t="n">
        <f aca="false">COUNTIFS(Logbook!$K$2:$K$501,$A99,Logbook!$M$2:$M$501,"S-TS")</f>
        <v>0</v>
      </c>
      <c r="F99" s="14" t="n">
        <f aca="false">COUNTIFS(Logbook!$K$2:$K$501,$A99,Logbook!$M$2:$M$501,"S-TU")</f>
        <v>0</v>
      </c>
      <c r="G99" s="14" t="n">
        <f aca="false">COUNTIFS(Logbook!$K$2:$K$501,$A99,Logbook!$M$2:$M$501,"P")</f>
        <v>0</v>
      </c>
      <c r="H99" s="14" t="n">
        <f aca="false">COUNTIFS(Logbook!$K$2:$K$501,$A99,Logbook!$M$2:$M$501,"T")</f>
        <v>0</v>
      </c>
      <c r="I99" s="14" t="n">
        <f aca="false">SUM(B99:H99)</f>
        <v>0</v>
      </c>
      <c r="J99" s="11"/>
    </row>
    <row r="100" customFormat="false" ht="15" hidden="false" customHeight="false" outlineLevel="0" collapsed="false">
      <c r="A100" s="14" t="s">
        <v>176</v>
      </c>
      <c r="B100" s="14" t="n">
        <f aca="false">COUNTIFS(Logbook!$K$2:$K$501,$A100,Logbook!$M$2:$M$501,"O")</f>
        <v>0</v>
      </c>
      <c r="C100" s="14" t="n">
        <f aca="false">COUNTIFS(Logbook!$K$2:$K$501,$A100,Logbook!$M$2:$M$501,"A2")</f>
        <v>0</v>
      </c>
      <c r="D100" s="14" t="n">
        <f aca="false">COUNTIFS(Logbook!$K$2:$K$501,$A100,Logbook!$M$2:$M$501,"A")</f>
        <v>0</v>
      </c>
      <c r="E100" s="14" t="n">
        <f aca="false">COUNTIFS(Logbook!$K$2:$K$501,$A100,Logbook!$M$2:$M$501,"S-TS")</f>
        <v>0</v>
      </c>
      <c r="F100" s="14" t="n">
        <f aca="false">COUNTIFS(Logbook!$K$2:$K$501,$A100,Logbook!$M$2:$M$501,"S-TU")</f>
        <v>0</v>
      </c>
      <c r="G100" s="14" t="n">
        <f aca="false">COUNTIFS(Logbook!$K$2:$K$501,$A100,Logbook!$M$2:$M$501,"P")</f>
        <v>0</v>
      </c>
      <c r="H100" s="14" t="n">
        <f aca="false">COUNTIFS(Logbook!$K$2:$K$501,$A100,Logbook!$M$2:$M$501,"T")</f>
        <v>0</v>
      </c>
      <c r="I100" s="14" t="n">
        <f aca="false">SUM(B100:H100)</f>
        <v>0</v>
      </c>
      <c r="J100" s="11"/>
    </row>
    <row r="101" customFormat="false" ht="15" hidden="false" customHeight="false" outlineLevel="0" collapsed="false">
      <c r="A101" s="14" t="s">
        <v>177</v>
      </c>
      <c r="B101" s="14" t="n">
        <f aca="false">COUNTIFS(Logbook!$K$2:$K$501,$A101,Logbook!$M$2:$M$501,"O")</f>
        <v>0</v>
      </c>
      <c r="C101" s="14" t="n">
        <f aca="false">COUNTIFS(Logbook!$K$2:$K$501,$A101,Logbook!$M$2:$M$501,"A2")</f>
        <v>0</v>
      </c>
      <c r="D101" s="14" t="n">
        <f aca="false">COUNTIFS(Logbook!$K$2:$K$501,$A101,Logbook!$M$2:$M$501,"A")</f>
        <v>0</v>
      </c>
      <c r="E101" s="14" t="n">
        <f aca="false">COUNTIFS(Logbook!$K$2:$K$501,$A101,Logbook!$M$2:$M$501,"S-TS")</f>
        <v>0</v>
      </c>
      <c r="F101" s="14" t="n">
        <f aca="false">COUNTIFS(Logbook!$K$2:$K$501,$A101,Logbook!$M$2:$M$501,"S-TU")</f>
        <v>0</v>
      </c>
      <c r="G101" s="14" t="n">
        <f aca="false">COUNTIFS(Logbook!$K$2:$K$501,$A101,Logbook!$M$2:$M$501,"P")</f>
        <v>0</v>
      </c>
      <c r="H101" s="14" t="n">
        <f aca="false">COUNTIFS(Logbook!$K$2:$K$501,$A101,Logbook!$M$2:$M$501,"T")</f>
        <v>0</v>
      </c>
      <c r="I101" s="14" t="n">
        <f aca="false">SUM(B101:H101)</f>
        <v>0</v>
      </c>
      <c r="J101" s="11"/>
    </row>
    <row r="102" customFormat="false" ht="15" hidden="false" customHeight="false" outlineLevel="0" collapsed="false">
      <c r="A102" s="14" t="s">
        <v>178</v>
      </c>
      <c r="B102" s="14" t="n">
        <f aca="false">COUNTIFS(Logbook!$K$2:$K$501,$A102,Logbook!$M$2:$M$501,"O")</f>
        <v>0</v>
      </c>
      <c r="C102" s="14" t="n">
        <f aca="false">COUNTIFS(Logbook!$K$2:$K$501,$A102,Logbook!$M$2:$M$501,"A2")</f>
        <v>0</v>
      </c>
      <c r="D102" s="14" t="n">
        <f aca="false">COUNTIFS(Logbook!$K$2:$K$501,$A102,Logbook!$M$2:$M$501,"A")</f>
        <v>0</v>
      </c>
      <c r="E102" s="14" t="n">
        <f aca="false">COUNTIFS(Logbook!$K$2:$K$501,$A102,Logbook!$M$2:$M$501,"S-TS")</f>
        <v>0</v>
      </c>
      <c r="F102" s="14" t="n">
        <f aca="false">COUNTIFS(Logbook!$K$2:$K$501,$A102,Logbook!$M$2:$M$501,"S-TU")</f>
        <v>0</v>
      </c>
      <c r="G102" s="14" t="n">
        <f aca="false">COUNTIFS(Logbook!$K$2:$K$501,$A102,Logbook!$M$2:$M$501,"P")</f>
        <v>0</v>
      </c>
      <c r="H102" s="14" t="n">
        <f aca="false">COUNTIFS(Logbook!$K$2:$K$501,$A102,Logbook!$M$2:$M$501,"T")</f>
        <v>0</v>
      </c>
      <c r="I102" s="14" t="n">
        <f aca="false">SUM(B102:H102)</f>
        <v>0</v>
      </c>
      <c r="J102" s="11"/>
    </row>
    <row r="103" customFormat="false" ht="15" hidden="false" customHeight="false" outlineLevel="0" collapsed="false">
      <c r="A103" s="14" t="s">
        <v>179</v>
      </c>
      <c r="B103" s="14" t="n">
        <f aca="false">COUNTIFS(Logbook!$K$2:$K$501,$A103,Logbook!$M$2:$M$501,"O")</f>
        <v>0</v>
      </c>
      <c r="C103" s="14" t="n">
        <f aca="false">COUNTIFS(Logbook!$K$2:$K$501,$A103,Logbook!$M$2:$M$501,"A2")</f>
        <v>0</v>
      </c>
      <c r="D103" s="14" t="n">
        <f aca="false">COUNTIFS(Logbook!$K$2:$K$501,$A103,Logbook!$M$2:$M$501,"A")</f>
        <v>0</v>
      </c>
      <c r="E103" s="14" t="n">
        <f aca="false">COUNTIFS(Logbook!$K$2:$K$501,$A103,Logbook!$M$2:$M$501,"S-TS")</f>
        <v>0</v>
      </c>
      <c r="F103" s="14" t="n">
        <f aca="false">COUNTIFS(Logbook!$K$2:$K$501,$A103,Logbook!$M$2:$M$501,"S-TU")</f>
        <v>0</v>
      </c>
      <c r="G103" s="14" t="n">
        <f aca="false">COUNTIFS(Logbook!$K$2:$K$501,$A103,Logbook!$M$2:$M$501,"P")</f>
        <v>0</v>
      </c>
      <c r="H103" s="14" t="n">
        <f aca="false">COUNTIFS(Logbook!$K$2:$K$501,$A103,Logbook!$M$2:$M$501,"T")</f>
        <v>0</v>
      </c>
      <c r="I103" s="14" t="n">
        <f aca="false">SUM(B103:H103)</f>
        <v>0</v>
      </c>
      <c r="J103" s="11"/>
    </row>
    <row r="104" customFormat="false" ht="15" hidden="false" customHeight="false" outlineLevel="0" collapsed="false">
      <c r="A104" s="14" t="s">
        <v>180</v>
      </c>
      <c r="B104" s="14" t="n">
        <f aca="false">COUNTIFS(Logbook!$K$2:$K$501,$A104,Logbook!$M$2:$M$501,"O")</f>
        <v>0</v>
      </c>
      <c r="C104" s="14" t="n">
        <f aca="false">COUNTIFS(Logbook!$K$2:$K$501,$A104,Logbook!$M$2:$M$501,"A2")</f>
        <v>0</v>
      </c>
      <c r="D104" s="14" t="n">
        <f aca="false">COUNTIFS(Logbook!$K$2:$K$501,$A104,Logbook!$M$2:$M$501,"A")</f>
        <v>0</v>
      </c>
      <c r="E104" s="14" t="n">
        <f aca="false">COUNTIFS(Logbook!$K$2:$K$501,$A104,Logbook!$M$2:$M$501,"S-TS")</f>
        <v>0</v>
      </c>
      <c r="F104" s="14" t="n">
        <f aca="false">COUNTIFS(Logbook!$K$2:$K$501,$A104,Logbook!$M$2:$M$501,"S-TU")</f>
        <v>0</v>
      </c>
      <c r="G104" s="14" t="n">
        <f aca="false">COUNTIFS(Logbook!$K$2:$K$501,$A104,Logbook!$M$2:$M$501,"P")</f>
        <v>0</v>
      </c>
      <c r="H104" s="14" t="n">
        <f aca="false">COUNTIFS(Logbook!$K$2:$K$501,$A104,Logbook!$M$2:$M$501,"T")</f>
        <v>0</v>
      </c>
      <c r="I104" s="14" t="n">
        <f aca="false">SUM(B104:H104)</f>
        <v>0</v>
      </c>
      <c r="J104" s="11"/>
    </row>
    <row r="105" customFormat="false" ht="15" hidden="false" customHeight="false" outlineLevel="0" collapsed="false">
      <c r="A105" s="14" t="s">
        <v>181</v>
      </c>
      <c r="B105" s="14" t="n">
        <f aca="false">COUNTIFS(Logbook!$K$2:$K$501,$A105,Logbook!$M$2:$M$501,"O")</f>
        <v>0</v>
      </c>
      <c r="C105" s="14" t="n">
        <f aca="false">COUNTIFS(Logbook!$K$2:$K$501,$A105,Logbook!$M$2:$M$501,"A2")</f>
        <v>0</v>
      </c>
      <c r="D105" s="14" t="n">
        <f aca="false">COUNTIFS(Logbook!$K$2:$K$501,$A105,Logbook!$M$2:$M$501,"A")</f>
        <v>0</v>
      </c>
      <c r="E105" s="14" t="n">
        <f aca="false">COUNTIFS(Logbook!$K$2:$K$501,$A105,Logbook!$M$2:$M$501,"S-TS")</f>
        <v>0</v>
      </c>
      <c r="F105" s="14" t="n">
        <f aca="false">COUNTIFS(Logbook!$K$2:$K$501,$A105,Logbook!$M$2:$M$501,"S-TU")</f>
        <v>0</v>
      </c>
      <c r="G105" s="14" t="n">
        <f aca="false">COUNTIFS(Logbook!$K$2:$K$501,$A105,Logbook!$M$2:$M$501,"P")</f>
        <v>0</v>
      </c>
      <c r="H105" s="14" t="n">
        <f aca="false">COUNTIFS(Logbook!$K$2:$K$501,$A105,Logbook!$M$2:$M$501,"T")</f>
        <v>0</v>
      </c>
      <c r="I105" s="14" t="n">
        <f aca="false">SUM(B105:H105)</f>
        <v>0</v>
      </c>
      <c r="J105" s="11"/>
    </row>
    <row r="106" customFormat="false" ht="15" hidden="false" customHeight="false" outlineLevel="0" collapsed="false">
      <c r="A106" s="14" t="s">
        <v>182</v>
      </c>
      <c r="B106" s="14" t="n">
        <f aca="false">COUNTIFS(Logbook!$K$2:$K$501,$A106,Logbook!$M$2:$M$501,"O")</f>
        <v>0</v>
      </c>
      <c r="C106" s="14" t="n">
        <f aca="false">COUNTIFS(Logbook!$K$2:$K$501,$A106,Logbook!$M$2:$M$501,"A2")</f>
        <v>0</v>
      </c>
      <c r="D106" s="14" t="n">
        <f aca="false">COUNTIFS(Logbook!$K$2:$K$501,$A106,Logbook!$M$2:$M$501,"A")</f>
        <v>0</v>
      </c>
      <c r="E106" s="14" t="n">
        <f aca="false">COUNTIFS(Logbook!$K$2:$K$501,$A106,Logbook!$M$2:$M$501,"S-TS")</f>
        <v>0</v>
      </c>
      <c r="F106" s="14" t="n">
        <f aca="false">COUNTIFS(Logbook!$K$2:$K$501,$A106,Logbook!$M$2:$M$501,"S-TU")</f>
        <v>0</v>
      </c>
      <c r="G106" s="14" t="n">
        <f aca="false">COUNTIFS(Logbook!$K$2:$K$501,$A106,Logbook!$M$2:$M$501,"P")</f>
        <v>0</v>
      </c>
      <c r="H106" s="14" t="n">
        <f aca="false">COUNTIFS(Logbook!$K$2:$K$501,$A106,Logbook!$M$2:$M$501,"T")</f>
        <v>0</v>
      </c>
      <c r="I106" s="14" t="n">
        <f aca="false">SUM(B106:H106)</f>
        <v>0</v>
      </c>
      <c r="J106" s="11"/>
    </row>
    <row r="107" customFormat="false" ht="15" hidden="false" customHeight="false" outlineLevel="0" collapsed="false">
      <c r="A107" s="14" t="s">
        <v>183</v>
      </c>
      <c r="B107" s="14" t="n">
        <f aca="false">COUNTIFS(Logbook!$K$2:$K$501,$A107,Logbook!$M$2:$M$501,"O")</f>
        <v>0</v>
      </c>
      <c r="C107" s="14" t="n">
        <f aca="false">COUNTIFS(Logbook!$K$2:$K$501,$A107,Logbook!$M$2:$M$501,"A2")</f>
        <v>0</v>
      </c>
      <c r="D107" s="14" t="n">
        <f aca="false">COUNTIFS(Logbook!$K$2:$K$501,$A107,Logbook!$M$2:$M$501,"A")</f>
        <v>0</v>
      </c>
      <c r="E107" s="14" t="n">
        <f aca="false">COUNTIFS(Logbook!$K$2:$K$501,$A107,Logbook!$M$2:$M$501,"S-TS")</f>
        <v>0</v>
      </c>
      <c r="F107" s="14" t="n">
        <f aca="false">COUNTIFS(Logbook!$K$2:$K$501,$A107,Logbook!$M$2:$M$501,"S-TU")</f>
        <v>0</v>
      </c>
      <c r="G107" s="14" t="n">
        <f aca="false">COUNTIFS(Logbook!$K$2:$K$501,$A107,Logbook!$M$2:$M$501,"P")</f>
        <v>0</v>
      </c>
      <c r="H107" s="14" t="n">
        <f aca="false">COUNTIFS(Logbook!$K$2:$K$501,$A107,Logbook!$M$2:$M$501,"T")</f>
        <v>0</v>
      </c>
      <c r="I107" s="14" t="n">
        <f aca="false">SUM(B107:H107)</f>
        <v>0</v>
      </c>
      <c r="J107" s="11"/>
    </row>
    <row r="108" customFormat="false" ht="15" hidden="false" customHeight="false" outlineLevel="0" collapsed="false">
      <c r="A108" s="14" t="s">
        <v>184</v>
      </c>
      <c r="B108" s="14" t="n">
        <f aca="false">COUNTIFS(Logbook!$K$2:$K$501,$A108,Logbook!$M$2:$M$501,"O")</f>
        <v>0</v>
      </c>
      <c r="C108" s="14" t="n">
        <f aca="false">COUNTIFS(Logbook!$K$2:$K$501,$A108,Logbook!$M$2:$M$501,"A2")</f>
        <v>0</v>
      </c>
      <c r="D108" s="14" t="n">
        <f aca="false">COUNTIFS(Logbook!$K$2:$K$501,$A108,Logbook!$M$2:$M$501,"A")</f>
        <v>0</v>
      </c>
      <c r="E108" s="14" t="n">
        <f aca="false">COUNTIFS(Logbook!$K$2:$K$501,$A108,Logbook!$M$2:$M$501,"S-TS")</f>
        <v>0</v>
      </c>
      <c r="F108" s="14" t="n">
        <f aca="false">COUNTIFS(Logbook!$K$2:$K$501,$A108,Logbook!$M$2:$M$501,"S-TU")</f>
        <v>0</v>
      </c>
      <c r="G108" s="14" t="n">
        <f aca="false">COUNTIFS(Logbook!$K$2:$K$501,$A108,Logbook!$M$2:$M$501,"P")</f>
        <v>0</v>
      </c>
      <c r="H108" s="14" t="n">
        <f aca="false">COUNTIFS(Logbook!$K$2:$K$501,$A108,Logbook!$M$2:$M$501,"T")</f>
        <v>0</v>
      </c>
      <c r="I108" s="14" t="n">
        <f aca="false">SUM(B108:H108)</f>
        <v>0</v>
      </c>
      <c r="J108" s="11"/>
    </row>
    <row r="109" customFormat="false" ht="15" hidden="false" customHeight="false" outlineLevel="0" collapsed="false">
      <c r="A109" s="14" t="s">
        <v>185</v>
      </c>
      <c r="B109" s="14" t="n">
        <f aca="false">COUNTIFS(Logbook!$K$2:$K$501,$A109,Logbook!$M$2:$M$501,"O")</f>
        <v>0</v>
      </c>
      <c r="C109" s="14" t="n">
        <f aca="false">COUNTIFS(Logbook!$K$2:$K$501,$A109,Logbook!$M$2:$M$501,"A2")</f>
        <v>0</v>
      </c>
      <c r="D109" s="14" t="n">
        <f aca="false">COUNTIFS(Logbook!$K$2:$K$501,$A109,Logbook!$M$2:$M$501,"A")</f>
        <v>0</v>
      </c>
      <c r="E109" s="14" t="n">
        <f aca="false">COUNTIFS(Logbook!$K$2:$K$501,$A109,Logbook!$M$2:$M$501,"S-TS")</f>
        <v>0</v>
      </c>
      <c r="F109" s="14" t="n">
        <f aca="false">COUNTIFS(Logbook!$K$2:$K$501,$A109,Logbook!$M$2:$M$501,"S-TU")</f>
        <v>0</v>
      </c>
      <c r="G109" s="14" t="n">
        <f aca="false">COUNTIFS(Logbook!$K$2:$K$501,$A109,Logbook!$M$2:$M$501,"P")</f>
        <v>0</v>
      </c>
      <c r="H109" s="14" t="n">
        <f aca="false">COUNTIFS(Logbook!$K$2:$K$501,$A109,Logbook!$M$2:$M$501,"T")</f>
        <v>0</v>
      </c>
      <c r="I109" s="14" t="n">
        <f aca="false">SUM(B109:H109)</f>
        <v>0</v>
      </c>
      <c r="J109" s="11"/>
    </row>
    <row r="110" customFormat="false" ht="15" hidden="false" customHeight="false" outlineLevel="0" collapsed="false">
      <c r="A110" s="14" t="s">
        <v>186</v>
      </c>
      <c r="B110" s="14" t="n">
        <f aca="false">COUNTIFS(Logbook!$K$2:$K$501,$A110,Logbook!$M$2:$M$501,"O")</f>
        <v>0</v>
      </c>
      <c r="C110" s="14" t="n">
        <f aca="false">COUNTIFS(Logbook!$K$2:$K$501,$A110,Logbook!$M$2:$M$501,"A2")</f>
        <v>0</v>
      </c>
      <c r="D110" s="14" t="n">
        <f aca="false">COUNTIFS(Logbook!$K$2:$K$501,$A110,Logbook!$M$2:$M$501,"A")</f>
        <v>0</v>
      </c>
      <c r="E110" s="14" t="n">
        <f aca="false">COUNTIFS(Logbook!$K$2:$K$501,$A110,Logbook!$M$2:$M$501,"S-TS")</f>
        <v>0</v>
      </c>
      <c r="F110" s="14" t="n">
        <f aca="false">COUNTIFS(Logbook!$K$2:$K$501,$A110,Logbook!$M$2:$M$501,"S-TU")</f>
        <v>0</v>
      </c>
      <c r="G110" s="14" t="n">
        <f aca="false">COUNTIFS(Logbook!$K$2:$K$501,$A110,Logbook!$M$2:$M$501,"P")</f>
        <v>0</v>
      </c>
      <c r="H110" s="14" t="n">
        <f aca="false">COUNTIFS(Logbook!$K$2:$K$501,$A110,Logbook!$M$2:$M$501,"T")</f>
        <v>0</v>
      </c>
      <c r="I110" s="14" t="n">
        <f aca="false">SUM(B110:H110)</f>
        <v>0</v>
      </c>
      <c r="J110" s="11"/>
    </row>
    <row r="111" customFormat="false" ht="15" hidden="false" customHeight="false" outlineLevel="0" collapsed="false">
      <c r="A111" s="14" t="s">
        <v>187</v>
      </c>
      <c r="B111" s="14" t="n">
        <f aca="false">COUNTIFS(Logbook!$K$2:$K$501,$A111,Logbook!$M$2:$M$501,"O")</f>
        <v>0</v>
      </c>
      <c r="C111" s="14" t="n">
        <f aca="false">COUNTIFS(Logbook!$K$2:$K$501,$A111,Logbook!$M$2:$M$501,"A2")</f>
        <v>0</v>
      </c>
      <c r="D111" s="14" t="n">
        <f aca="false">COUNTIFS(Logbook!$K$2:$K$501,$A111,Logbook!$M$2:$M$501,"A")</f>
        <v>0</v>
      </c>
      <c r="E111" s="14" t="n">
        <f aca="false">COUNTIFS(Logbook!$K$2:$K$501,$A111,Logbook!$M$2:$M$501,"S-TS")</f>
        <v>0</v>
      </c>
      <c r="F111" s="14" t="n">
        <f aca="false">COUNTIFS(Logbook!$K$2:$K$501,$A111,Logbook!$M$2:$M$501,"S-TU")</f>
        <v>0</v>
      </c>
      <c r="G111" s="14" t="n">
        <f aca="false">COUNTIFS(Logbook!$K$2:$K$501,$A111,Logbook!$M$2:$M$501,"P")</f>
        <v>0</v>
      </c>
      <c r="H111" s="14" t="n">
        <f aca="false">COUNTIFS(Logbook!$K$2:$K$501,$A111,Logbook!$M$2:$M$501,"T")</f>
        <v>0</v>
      </c>
      <c r="I111" s="14" t="n">
        <f aca="false">SUM(B111:H111)</f>
        <v>0</v>
      </c>
      <c r="J111" s="11"/>
    </row>
    <row r="112" customFormat="false" ht="15" hidden="false" customHeight="false" outlineLevel="0" collapsed="false">
      <c r="A112" s="14" t="s">
        <v>188</v>
      </c>
      <c r="B112" s="14" t="n">
        <f aca="false">COUNTIFS(Logbook!$K$2:$K$501,$A112,Logbook!$M$2:$M$501,"O")</f>
        <v>0</v>
      </c>
      <c r="C112" s="14" t="n">
        <f aca="false">COUNTIFS(Logbook!$K$2:$K$501,$A112,Logbook!$M$2:$M$501,"A2")</f>
        <v>0</v>
      </c>
      <c r="D112" s="14" t="n">
        <f aca="false">COUNTIFS(Logbook!$K$2:$K$501,$A112,Logbook!$M$2:$M$501,"A")</f>
        <v>0</v>
      </c>
      <c r="E112" s="14" t="n">
        <f aca="false">COUNTIFS(Logbook!$K$2:$K$501,$A112,Logbook!$M$2:$M$501,"S-TS")</f>
        <v>0</v>
      </c>
      <c r="F112" s="14" t="n">
        <f aca="false">COUNTIFS(Logbook!$K$2:$K$501,$A112,Logbook!$M$2:$M$501,"S-TU")</f>
        <v>0</v>
      </c>
      <c r="G112" s="14" t="n">
        <f aca="false">COUNTIFS(Logbook!$K$2:$K$501,$A112,Logbook!$M$2:$M$501,"P")</f>
        <v>0</v>
      </c>
      <c r="H112" s="14" t="n">
        <f aca="false">COUNTIFS(Logbook!$K$2:$K$501,$A112,Logbook!$M$2:$M$501,"T")</f>
        <v>0</v>
      </c>
      <c r="I112" s="14" t="n">
        <f aca="false">SUM(B112:H112)</f>
        <v>0</v>
      </c>
      <c r="J112" s="11"/>
    </row>
    <row r="113" customFormat="false" ht="15" hidden="false" customHeight="false" outlineLevel="0" collapsed="false">
      <c r="A113" s="14" t="s">
        <v>189</v>
      </c>
      <c r="B113" s="14" t="n">
        <f aca="false">COUNTIFS(Logbook!$K$2:$K$501,$A113,Logbook!$M$2:$M$501,"O")</f>
        <v>0</v>
      </c>
      <c r="C113" s="14" t="n">
        <f aca="false">COUNTIFS(Logbook!$K$2:$K$501,$A113,Logbook!$M$2:$M$501,"A2")</f>
        <v>0</v>
      </c>
      <c r="D113" s="14" t="n">
        <f aca="false">COUNTIFS(Logbook!$K$2:$K$501,$A113,Logbook!$M$2:$M$501,"A")</f>
        <v>0</v>
      </c>
      <c r="E113" s="14" t="n">
        <f aca="false">COUNTIFS(Logbook!$K$2:$K$501,$A113,Logbook!$M$2:$M$501,"S-TS")</f>
        <v>0</v>
      </c>
      <c r="F113" s="14" t="n">
        <f aca="false">COUNTIFS(Logbook!$K$2:$K$501,$A113,Logbook!$M$2:$M$501,"S-TU")</f>
        <v>0</v>
      </c>
      <c r="G113" s="14" t="n">
        <f aca="false">COUNTIFS(Logbook!$K$2:$K$501,$A113,Logbook!$M$2:$M$501,"P")</f>
        <v>0</v>
      </c>
      <c r="H113" s="14" t="n">
        <f aca="false">COUNTIFS(Logbook!$K$2:$K$501,$A113,Logbook!$M$2:$M$501,"T")</f>
        <v>0</v>
      </c>
      <c r="I113" s="14" t="n">
        <f aca="false">SUM(B113:H113)</f>
        <v>0</v>
      </c>
      <c r="J113" s="11"/>
    </row>
    <row r="114" customFormat="false" ht="15" hidden="false" customHeight="false" outlineLevel="0" collapsed="false">
      <c r="A114" s="14" t="s">
        <v>190</v>
      </c>
      <c r="B114" s="14" t="n">
        <f aca="false">COUNTIFS(Logbook!$K$2:$K$501,$A114,Logbook!$M$2:$M$501,"O")</f>
        <v>0</v>
      </c>
      <c r="C114" s="14" t="n">
        <f aca="false">COUNTIFS(Logbook!$K$2:$K$501,$A114,Logbook!$M$2:$M$501,"A2")</f>
        <v>0</v>
      </c>
      <c r="D114" s="14" t="n">
        <f aca="false">COUNTIFS(Logbook!$K$2:$K$501,$A114,Logbook!$M$2:$M$501,"A")</f>
        <v>0</v>
      </c>
      <c r="E114" s="14" t="n">
        <f aca="false">COUNTIFS(Logbook!$K$2:$K$501,$A114,Logbook!$M$2:$M$501,"S-TS")</f>
        <v>0</v>
      </c>
      <c r="F114" s="14" t="n">
        <f aca="false">COUNTIFS(Logbook!$K$2:$K$501,$A114,Logbook!$M$2:$M$501,"S-TU")</f>
        <v>0</v>
      </c>
      <c r="G114" s="14" t="n">
        <f aca="false">COUNTIFS(Logbook!$K$2:$K$501,$A114,Logbook!$M$2:$M$501,"P")</f>
        <v>0</v>
      </c>
      <c r="H114" s="14" t="n">
        <f aca="false">COUNTIFS(Logbook!$K$2:$K$501,$A114,Logbook!$M$2:$M$501,"T")</f>
        <v>0</v>
      </c>
      <c r="I114" s="14" t="n">
        <f aca="false">SUM(B114:H114)</f>
        <v>0</v>
      </c>
      <c r="J114" s="11"/>
    </row>
    <row r="115" customFormat="false" ht="15" hidden="false" customHeight="false" outlineLevel="0" collapsed="false">
      <c r="A115" s="14" t="s">
        <v>191</v>
      </c>
      <c r="B115" s="14" t="n">
        <f aca="false">COUNTIFS(Logbook!$K$2:$K$501,$A115,Logbook!$M$2:$M$501,"O")</f>
        <v>0</v>
      </c>
      <c r="C115" s="14" t="n">
        <f aca="false">COUNTIFS(Logbook!$K$2:$K$501,$A115,Logbook!$M$2:$M$501,"A2")</f>
        <v>0</v>
      </c>
      <c r="D115" s="14" t="n">
        <f aca="false">COUNTIFS(Logbook!$K$2:$K$501,$A115,Logbook!$M$2:$M$501,"A")</f>
        <v>0</v>
      </c>
      <c r="E115" s="14" t="n">
        <f aca="false">COUNTIFS(Logbook!$K$2:$K$501,$A115,Logbook!$M$2:$M$501,"S-TS")</f>
        <v>0</v>
      </c>
      <c r="F115" s="14" t="n">
        <f aca="false">COUNTIFS(Logbook!$K$2:$K$501,$A115,Logbook!$M$2:$M$501,"S-TU")</f>
        <v>0</v>
      </c>
      <c r="G115" s="14" t="n">
        <f aca="false">COUNTIFS(Logbook!$K$2:$K$501,$A115,Logbook!$M$2:$M$501,"P")</f>
        <v>0</v>
      </c>
      <c r="H115" s="14" t="n">
        <f aca="false">COUNTIFS(Logbook!$K$2:$K$501,$A115,Logbook!$M$2:$M$501,"T")</f>
        <v>0</v>
      </c>
      <c r="I115" s="14" t="n">
        <f aca="false">SUM(B115:H115)</f>
        <v>0</v>
      </c>
      <c r="J115" s="11"/>
    </row>
    <row r="116" customFormat="false" ht="15" hidden="false" customHeight="false" outlineLevel="0" collapsed="false">
      <c r="A116" s="14" t="s">
        <v>192</v>
      </c>
      <c r="B116" s="14" t="n">
        <f aca="false">COUNTIFS(Logbook!$K$2:$K$501,$A116,Logbook!$M$2:$M$501,"O")</f>
        <v>0</v>
      </c>
      <c r="C116" s="14" t="n">
        <f aca="false">COUNTIFS(Logbook!$K$2:$K$501,$A116,Logbook!$M$2:$M$501,"A2")</f>
        <v>0</v>
      </c>
      <c r="D116" s="14" t="n">
        <f aca="false">COUNTIFS(Logbook!$K$2:$K$501,$A116,Logbook!$M$2:$M$501,"A")</f>
        <v>0</v>
      </c>
      <c r="E116" s="14" t="n">
        <f aca="false">COUNTIFS(Logbook!$K$2:$K$501,$A116,Logbook!$M$2:$M$501,"S-TS")</f>
        <v>0</v>
      </c>
      <c r="F116" s="14" t="n">
        <f aca="false">COUNTIFS(Logbook!$K$2:$K$501,$A116,Logbook!$M$2:$M$501,"S-TU")</f>
        <v>0</v>
      </c>
      <c r="G116" s="14" t="n">
        <f aca="false">COUNTIFS(Logbook!$K$2:$K$501,$A116,Logbook!$M$2:$M$501,"P")</f>
        <v>0</v>
      </c>
      <c r="H116" s="14" t="n">
        <f aca="false">COUNTIFS(Logbook!$K$2:$K$501,$A116,Logbook!$M$2:$M$501,"T")</f>
        <v>0</v>
      </c>
      <c r="I116" s="14" t="n">
        <f aca="false">SUM(B116:H116)</f>
        <v>0</v>
      </c>
      <c r="J116" s="11"/>
    </row>
    <row r="117" customFormat="false" ht="15" hidden="false" customHeight="false" outlineLevel="0" collapsed="false">
      <c r="A117" s="14" t="s">
        <v>193</v>
      </c>
      <c r="B117" s="14" t="n">
        <f aca="false">COUNTIFS(Logbook!$K$2:$K$501,$A117,Logbook!$M$2:$M$501,"O")</f>
        <v>0</v>
      </c>
      <c r="C117" s="14" t="n">
        <f aca="false">COUNTIFS(Logbook!$K$2:$K$501,$A117,Logbook!$M$2:$M$501,"A2")</f>
        <v>0</v>
      </c>
      <c r="D117" s="14" t="n">
        <f aca="false">COUNTIFS(Logbook!$K$2:$K$501,$A117,Logbook!$M$2:$M$501,"A")</f>
        <v>0</v>
      </c>
      <c r="E117" s="14" t="n">
        <f aca="false">COUNTIFS(Logbook!$K$2:$K$501,$A117,Logbook!$M$2:$M$501,"S-TS")</f>
        <v>0</v>
      </c>
      <c r="F117" s="14" t="n">
        <f aca="false">COUNTIFS(Logbook!$K$2:$K$501,$A117,Logbook!$M$2:$M$501,"S-TU")</f>
        <v>0</v>
      </c>
      <c r="G117" s="14" t="n">
        <f aca="false">COUNTIFS(Logbook!$K$2:$K$501,$A117,Logbook!$M$2:$M$501,"P")</f>
        <v>0</v>
      </c>
      <c r="H117" s="14" t="n">
        <f aca="false">COUNTIFS(Logbook!$K$2:$K$501,$A117,Logbook!$M$2:$M$501,"T")</f>
        <v>0</v>
      </c>
      <c r="I117" s="14" t="n">
        <f aca="false">SUM(B117:H117)</f>
        <v>0</v>
      </c>
      <c r="J117" s="11"/>
    </row>
    <row r="118" customFormat="false" ht="15" hidden="false" customHeight="false" outlineLevel="0" collapsed="false">
      <c r="A118" s="14" t="s">
        <v>194</v>
      </c>
      <c r="B118" s="14" t="n">
        <f aca="false">COUNTIFS(Logbook!$K$2:$K$501,$A118,Logbook!$M$2:$M$501,"O")</f>
        <v>0</v>
      </c>
      <c r="C118" s="14" t="n">
        <f aca="false">COUNTIFS(Logbook!$K$2:$K$501,$A118,Logbook!$M$2:$M$501,"A2")</f>
        <v>0</v>
      </c>
      <c r="D118" s="14" t="n">
        <f aca="false">COUNTIFS(Logbook!$K$2:$K$501,$A118,Logbook!$M$2:$M$501,"A")</f>
        <v>0</v>
      </c>
      <c r="E118" s="14" t="n">
        <f aca="false">COUNTIFS(Logbook!$K$2:$K$501,$A118,Logbook!$M$2:$M$501,"S-TS")</f>
        <v>0</v>
      </c>
      <c r="F118" s="14" t="n">
        <f aca="false">COUNTIFS(Logbook!$K$2:$K$501,$A118,Logbook!$M$2:$M$501,"S-TU")</f>
        <v>0</v>
      </c>
      <c r="G118" s="14" t="n">
        <f aca="false">COUNTIFS(Logbook!$K$2:$K$501,$A118,Logbook!$M$2:$M$501,"P")</f>
        <v>0</v>
      </c>
      <c r="H118" s="14" t="n">
        <f aca="false">COUNTIFS(Logbook!$K$2:$K$501,$A118,Logbook!$M$2:$M$501,"T")</f>
        <v>0</v>
      </c>
      <c r="I118" s="14" t="n">
        <f aca="false">SUM(B118:H118)</f>
        <v>0</v>
      </c>
      <c r="J118" s="11"/>
    </row>
    <row r="119" customFormat="false" ht="15" hidden="false" customHeight="false" outlineLevel="0" collapsed="false">
      <c r="A119" s="14" t="s">
        <v>195</v>
      </c>
      <c r="B119" s="14" t="n">
        <f aca="false">COUNTIFS(Logbook!$K$2:$K$501,$A119,Logbook!$M$2:$M$501,"O")</f>
        <v>0</v>
      </c>
      <c r="C119" s="14" t="n">
        <f aca="false">COUNTIFS(Logbook!$K$2:$K$501,$A119,Logbook!$M$2:$M$501,"A2")</f>
        <v>0</v>
      </c>
      <c r="D119" s="14" t="n">
        <f aca="false">COUNTIFS(Logbook!$K$2:$K$501,$A119,Logbook!$M$2:$M$501,"A")</f>
        <v>0</v>
      </c>
      <c r="E119" s="14" t="n">
        <f aca="false">COUNTIFS(Logbook!$K$2:$K$501,$A119,Logbook!$M$2:$M$501,"S-TS")</f>
        <v>0</v>
      </c>
      <c r="F119" s="14" t="n">
        <f aca="false">COUNTIFS(Logbook!$K$2:$K$501,$A119,Logbook!$M$2:$M$501,"S-TU")</f>
        <v>0</v>
      </c>
      <c r="G119" s="14" t="n">
        <f aca="false">COUNTIFS(Logbook!$K$2:$K$501,$A119,Logbook!$M$2:$M$501,"P")</f>
        <v>0</v>
      </c>
      <c r="H119" s="14" t="n">
        <f aca="false">COUNTIFS(Logbook!$K$2:$K$501,$A119,Logbook!$M$2:$M$501,"T")</f>
        <v>0</v>
      </c>
      <c r="I119" s="14" t="n">
        <f aca="false">SUM(B119:H119)</f>
        <v>0</v>
      </c>
      <c r="J119" s="11"/>
    </row>
    <row r="120" customFormat="false" ht="15" hidden="false" customHeight="false" outlineLevel="0" collapsed="false">
      <c r="A120" s="14" t="s">
        <v>196</v>
      </c>
      <c r="B120" s="14" t="n">
        <f aca="false">COUNTIFS(Logbook!$K$2:$K$501,$A120,Logbook!$M$2:$M$501,"O")</f>
        <v>0</v>
      </c>
      <c r="C120" s="14" t="n">
        <f aca="false">COUNTIFS(Logbook!$K$2:$K$501,$A120,Logbook!$M$2:$M$501,"A2")</f>
        <v>0</v>
      </c>
      <c r="D120" s="14" t="n">
        <f aca="false">COUNTIFS(Logbook!$K$2:$K$501,$A120,Logbook!$M$2:$M$501,"A")</f>
        <v>0</v>
      </c>
      <c r="E120" s="14" t="n">
        <f aca="false">COUNTIFS(Logbook!$K$2:$K$501,$A120,Logbook!$M$2:$M$501,"S-TS")</f>
        <v>0</v>
      </c>
      <c r="F120" s="14" t="n">
        <f aca="false">COUNTIFS(Logbook!$K$2:$K$501,$A120,Logbook!$M$2:$M$501,"S-TU")</f>
        <v>0</v>
      </c>
      <c r="G120" s="14" t="n">
        <f aca="false">COUNTIFS(Logbook!$K$2:$K$501,$A120,Logbook!$M$2:$M$501,"P")</f>
        <v>0</v>
      </c>
      <c r="H120" s="14" t="n">
        <f aca="false">COUNTIFS(Logbook!$K$2:$K$501,$A120,Logbook!$M$2:$M$501,"T")</f>
        <v>0</v>
      </c>
      <c r="I120" s="14" t="n">
        <f aca="false">SUM(B120:H120)</f>
        <v>0</v>
      </c>
      <c r="J120" s="11"/>
    </row>
    <row r="121" customFormat="false" ht="15" hidden="false" customHeight="false" outlineLevel="0" collapsed="false">
      <c r="A121" s="14" t="s">
        <v>197</v>
      </c>
      <c r="B121" s="14" t="n">
        <f aca="false">COUNTIFS(Logbook!$K$2:$K$501,$A121,Logbook!$M$2:$M$501,"O")</f>
        <v>0</v>
      </c>
      <c r="C121" s="14" t="n">
        <f aca="false">COUNTIFS(Logbook!$K$2:$K$501,$A121,Logbook!$M$2:$M$501,"A2")</f>
        <v>0</v>
      </c>
      <c r="D121" s="14" t="n">
        <f aca="false">COUNTIFS(Logbook!$K$2:$K$501,$A121,Logbook!$M$2:$M$501,"A")</f>
        <v>0</v>
      </c>
      <c r="E121" s="14" t="n">
        <f aca="false">COUNTIFS(Logbook!$K$2:$K$501,$A121,Logbook!$M$2:$M$501,"S-TS")</f>
        <v>0</v>
      </c>
      <c r="F121" s="14" t="n">
        <f aca="false">COUNTIFS(Logbook!$K$2:$K$501,$A121,Logbook!$M$2:$M$501,"S-TU")</f>
        <v>0</v>
      </c>
      <c r="G121" s="14" t="n">
        <f aca="false">COUNTIFS(Logbook!$K$2:$K$501,$A121,Logbook!$M$2:$M$501,"P")</f>
        <v>0</v>
      </c>
      <c r="H121" s="14" t="n">
        <f aca="false">COUNTIFS(Logbook!$K$2:$K$501,$A121,Logbook!$M$2:$M$501,"T")</f>
        <v>0</v>
      </c>
      <c r="I121" s="14" t="n">
        <f aca="false">SUM(B121:H121)</f>
        <v>0</v>
      </c>
      <c r="J121" s="11"/>
    </row>
    <row r="122" customFormat="false" ht="15" hidden="false" customHeight="false" outlineLevel="0" collapsed="false">
      <c r="A122" s="14" t="s">
        <v>198</v>
      </c>
      <c r="B122" s="14" t="n">
        <f aca="false">COUNTIFS(Logbook!$K$2:$K$501,$A122,Logbook!$M$2:$M$501,"O")</f>
        <v>0</v>
      </c>
      <c r="C122" s="14" t="n">
        <f aca="false">COUNTIFS(Logbook!$K$2:$K$501,$A122,Logbook!$M$2:$M$501,"A2")</f>
        <v>0</v>
      </c>
      <c r="D122" s="14" t="n">
        <f aca="false">COUNTIFS(Logbook!$K$2:$K$501,$A122,Logbook!$M$2:$M$501,"A")</f>
        <v>0</v>
      </c>
      <c r="E122" s="14" t="n">
        <f aca="false">COUNTIFS(Logbook!$K$2:$K$501,$A122,Logbook!$M$2:$M$501,"S-TS")</f>
        <v>0</v>
      </c>
      <c r="F122" s="14" t="n">
        <f aca="false">COUNTIFS(Logbook!$K$2:$K$501,$A122,Logbook!$M$2:$M$501,"S-TU")</f>
        <v>0</v>
      </c>
      <c r="G122" s="14" t="n">
        <f aca="false">COUNTIFS(Logbook!$K$2:$K$501,$A122,Logbook!$M$2:$M$501,"P")</f>
        <v>0</v>
      </c>
      <c r="H122" s="14" t="n">
        <f aca="false">COUNTIFS(Logbook!$K$2:$K$501,$A122,Logbook!$M$2:$M$501,"T")</f>
        <v>0</v>
      </c>
      <c r="I122" s="14" t="n">
        <f aca="false">SUM(B122:H122)</f>
        <v>0</v>
      </c>
      <c r="J122" s="11"/>
    </row>
    <row r="123" customFormat="false" ht="15" hidden="false" customHeight="false" outlineLevel="0" collapsed="false">
      <c r="A123" s="14" t="s">
        <v>199</v>
      </c>
      <c r="B123" s="14" t="n">
        <f aca="false">COUNTIFS(Logbook!$K$2:$K$501,$A123,Logbook!$M$2:$M$501,"O")</f>
        <v>0</v>
      </c>
      <c r="C123" s="14" t="n">
        <f aca="false">COUNTIFS(Logbook!$K$2:$K$501,$A123,Logbook!$M$2:$M$501,"A2")</f>
        <v>0</v>
      </c>
      <c r="D123" s="14" t="n">
        <f aca="false">COUNTIFS(Logbook!$K$2:$K$501,$A123,Logbook!$M$2:$M$501,"A")</f>
        <v>0</v>
      </c>
      <c r="E123" s="14" t="n">
        <f aca="false">COUNTIFS(Logbook!$K$2:$K$501,$A123,Logbook!$M$2:$M$501,"S-TS")</f>
        <v>0</v>
      </c>
      <c r="F123" s="14" t="n">
        <f aca="false">COUNTIFS(Logbook!$K$2:$K$501,$A123,Logbook!$M$2:$M$501,"S-TU")</f>
        <v>0</v>
      </c>
      <c r="G123" s="14" t="n">
        <f aca="false">COUNTIFS(Logbook!$K$2:$K$501,$A123,Logbook!$M$2:$M$501,"P")</f>
        <v>0</v>
      </c>
      <c r="H123" s="14" t="n">
        <f aca="false">COUNTIFS(Logbook!$K$2:$K$501,$A123,Logbook!$M$2:$M$501,"T")</f>
        <v>0</v>
      </c>
      <c r="I123" s="14" t="n">
        <f aca="false">SUM(B123:H123)</f>
        <v>0</v>
      </c>
      <c r="J123" s="11"/>
    </row>
    <row r="124" customFormat="false" ht="15" hidden="false" customHeight="false" outlineLevel="0" collapsed="false">
      <c r="A124" s="14" t="s">
        <v>200</v>
      </c>
      <c r="B124" s="14" t="n">
        <f aca="false">COUNTIFS(Logbook!$K$2:$K$501,$A124,Logbook!$M$2:$M$501,"O")</f>
        <v>0</v>
      </c>
      <c r="C124" s="14" t="n">
        <f aca="false">COUNTIFS(Logbook!$K$2:$K$501,$A124,Logbook!$M$2:$M$501,"A2")</f>
        <v>0</v>
      </c>
      <c r="D124" s="14" t="n">
        <f aca="false">COUNTIFS(Logbook!$K$2:$K$501,$A124,Logbook!$M$2:$M$501,"A")</f>
        <v>0</v>
      </c>
      <c r="E124" s="14" t="n">
        <f aca="false">COUNTIFS(Logbook!$K$2:$K$501,$A124,Logbook!$M$2:$M$501,"S-TS")</f>
        <v>0</v>
      </c>
      <c r="F124" s="14" t="n">
        <f aca="false">COUNTIFS(Logbook!$K$2:$K$501,$A124,Logbook!$M$2:$M$501,"S-TU")</f>
        <v>0</v>
      </c>
      <c r="G124" s="14" t="n">
        <f aca="false">COUNTIFS(Logbook!$K$2:$K$501,$A124,Logbook!$M$2:$M$501,"P")</f>
        <v>0</v>
      </c>
      <c r="H124" s="14" t="n">
        <f aca="false">COUNTIFS(Logbook!$K$2:$K$501,$A124,Logbook!$M$2:$M$501,"T")</f>
        <v>0</v>
      </c>
      <c r="I124" s="14" t="n">
        <f aca="false">SUM(B124:H124)</f>
        <v>0</v>
      </c>
      <c r="J124" s="11"/>
    </row>
    <row r="125" customFormat="false" ht="15" hidden="false" customHeight="false" outlineLevel="0" collapsed="false">
      <c r="A125" s="14" t="s">
        <v>201</v>
      </c>
      <c r="B125" s="14" t="n">
        <f aca="false">COUNTIFS(Logbook!$K$2:$K$501,$A125,Logbook!$M$2:$M$501,"O")</f>
        <v>0</v>
      </c>
      <c r="C125" s="14" t="n">
        <f aca="false">COUNTIFS(Logbook!$K$2:$K$501,$A125,Logbook!$M$2:$M$501,"A2")</f>
        <v>0</v>
      </c>
      <c r="D125" s="14" t="n">
        <f aca="false">COUNTIFS(Logbook!$K$2:$K$501,$A125,Logbook!$M$2:$M$501,"A")</f>
        <v>0</v>
      </c>
      <c r="E125" s="14" t="n">
        <f aca="false">COUNTIFS(Logbook!$K$2:$K$501,$A125,Logbook!$M$2:$M$501,"S-TS")</f>
        <v>0</v>
      </c>
      <c r="F125" s="14" t="n">
        <f aca="false">COUNTIFS(Logbook!$K$2:$K$501,$A125,Logbook!$M$2:$M$501,"S-TU")</f>
        <v>0</v>
      </c>
      <c r="G125" s="14" t="n">
        <f aca="false">COUNTIFS(Logbook!$K$2:$K$501,$A125,Logbook!$M$2:$M$501,"P")</f>
        <v>0</v>
      </c>
      <c r="H125" s="14" t="n">
        <f aca="false">COUNTIFS(Logbook!$K$2:$K$501,$A125,Logbook!$M$2:$M$501,"T")</f>
        <v>0</v>
      </c>
      <c r="I125" s="14" t="n">
        <f aca="false">SUM(B125:H125)</f>
        <v>0</v>
      </c>
      <c r="J125" s="11"/>
    </row>
    <row r="126" customFormat="false" ht="15" hidden="false" customHeight="false" outlineLevel="0" collapsed="false">
      <c r="A126" s="14" t="s">
        <v>202</v>
      </c>
      <c r="B126" s="14" t="n">
        <f aca="false">COUNTIFS(Logbook!$K$2:$K$501,$A126,Logbook!$M$2:$M$501,"O")</f>
        <v>0</v>
      </c>
      <c r="C126" s="14" t="n">
        <f aca="false">COUNTIFS(Logbook!$K$2:$K$501,$A126,Logbook!$M$2:$M$501,"A2")</f>
        <v>0</v>
      </c>
      <c r="D126" s="14" t="n">
        <f aca="false">COUNTIFS(Logbook!$K$2:$K$501,$A126,Logbook!$M$2:$M$501,"A")</f>
        <v>0</v>
      </c>
      <c r="E126" s="14" t="n">
        <f aca="false">COUNTIFS(Logbook!$K$2:$K$501,$A126,Logbook!$M$2:$M$501,"S-TS")</f>
        <v>0</v>
      </c>
      <c r="F126" s="14" t="n">
        <f aca="false">COUNTIFS(Logbook!$K$2:$K$501,$A126,Logbook!$M$2:$M$501,"S-TU")</f>
        <v>0</v>
      </c>
      <c r="G126" s="14" t="n">
        <f aca="false">COUNTIFS(Logbook!$K$2:$K$501,$A126,Logbook!$M$2:$M$501,"P")</f>
        <v>0</v>
      </c>
      <c r="H126" s="14" t="n">
        <f aca="false">COUNTIFS(Logbook!$K$2:$K$501,$A126,Logbook!$M$2:$M$501,"T")</f>
        <v>0</v>
      </c>
      <c r="I126" s="14" t="n">
        <f aca="false">SUM(B126:H126)</f>
        <v>0</v>
      </c>
      <c r="J126" s="11"/>
    </row>
    <row r="127" customFormat="false" ht="15" hidden="false" customHeight="false" outlineLevel="0" collapsed="false">
      <c r="A127" s="14" t="s">
        <v>203</v>
      </c>
      <c r="B127" s="14" t="n">
        <f aca="false">COUNTIFS(Logbook!$K$2:$K$501,$A127,Logbook!$M$2:$M$501,"O")</f>
        <v>0</v>
      </c>
      <c r="C127" s="14" t="n">
        <f aca="false">COUNTIFS(Logbook!$K$2:$K$501,$A127,Logbook!$M$2:$M$501,"A2")</f>
        <v>0</v>
      </c>
      <c r="D127" s="14" t="n">
        <f aca="false">COUNTIFS(Logbook!$K$2:$K$501,$A127,Logbook!$M$2:$M$501,"A")</f>
        <v>0</v>
      </c>
      <c r="E127" s="14" t="n">
        <f aca="false">COUNTIFS(Logbook!$K$2:$K$501,$A127,Logbook!$M$2:$M$501,"S-TS")</f>
        <v>0</v>
      </c>
      <c r="F127" s="14" t="n">
        <f aca="false">COUNTIFS(Logbook!$K$2:$K$501,$A127,Logbook!$M$2:$M$501,"S-TU")</f>
        <v>0</v>
      </c>
      <c r="G127" s="14" t="n">
        <f aca="false">COUNTIFS(Logbook!$K$2:$K$501,$A127,Logbook!$M$2:$M$501,"P")</f>
        <v>0</v>
      </c>
      <c r="H127" s="14" t="n">
        <f aca="false">COUNTIFS(Logbook!$K$2:$K$501,$A127,Logbook!$M$2:$M$501,"T")</f>
        <v>0</v>
      </c>
      <c r="I127" s="14" t="n">
        <f aca="false">SUM(B127:H127)</f>
        <v>0</v>
      </c>
      <c r="J127" s="11"/>
    </row>
    <row r="128" customFormat="false" ht="15" hidden="false" customHeight="false" outlineLevel="0" collapsed="false">
      <c r="A128" s="14" t="s">
        <v>204</v>
      </c>
      <c r="B128" s="14" t="n">
        <f aca="false">COUNTIFS(Logbook!$K$2:$K$501,$A128,Logbook!$M$2:$M$501,"O")</f>
        <v>0</v>
      </c>
      <c r="C128" s="14" t="n">
        <f aca="false">COUNTIFS(Logbook!$K$2:$K$501,$A128,Logbook!$M$2:$M$501,"A2")</f>
        <v>0</v>
      </c>
      <c r="D128" s="14" t="n">
        <f aca="false">COUNTIFS(Logbook!$K$2:$K$501,$A128,Logbook!$M$2:$M$501,"A")</f>
        <v>0</v>
      </c>
      <c r="E128" s="14" t="n">
        <f aca="false">COUNTIFS(Logbook!$K$2:$K$501,$A128,Logbook!$M$2:$M$501,"S-TS")</f>
        <v>0</v>
      </c>
      <c r="F128" s="14" t="n">
        <f aca="false">COUNTIFS(Logbook!$K$2:$K$501,$A128,Logbook!$M$2:$M$501,"S-TU")</f>
        <v>0</v>
      </c>
      <c r="G128" s="14" t="n">
        <f aca="false">COUNTIFS(Logbook!$K$2:$K$501,$A128,Logbook!$M$2:$M$501,"P")</f>
        <v>0</v>
      </c>
      <c r="H128" s="14" t="n">
        <f aca="false">COUNTIFS(Logbook!$K$2:$K$501,$A128,Logbook!$M$2:$M$501,"T")</f>
        <v>0</v>
      </c>
      <c r="I128" s="14" t="n">
        <f aca="false">SUM(B128:H128)</f>
        <v>0</v>
      </c>
      <c r="J128" s="11"/>
    </row>
    <row r="129" customFormat="false" ht="15" hidden="false" customHeight="false" outlineLevel="0" collapsed="false">
      <c r="A129" s="14" t="s">
        <v>205</v>
      </c>
      <c r="B129" s="14" t="n">
        <f aca="false">COUNTIFS(Logbook!$K$2:$K$501,$A129,Logbook!$M$2:$M$501,"O")</f>
        <v>0</v>
      </c>
      <c r="C129" s="14" t="n">
        <f aca="false">COUNTIFS(Logbook!$K$2:$K$501,$A129,Logbook!$M$2:$M$501,"A2")</f>
        <v>0</v>
      </c>
      <c r="D129" s="14" t="n">
        <f aca="false">COUNTIFS(Logbook!$K$2:$K$501,$A129,Logbook!$M$2:$M$501,"A")</f>
        <v>0</v>
      </c>
      <c r="E129" s="14" t="n">
        <f aca="false">COUNTIFS(Logbook!$K$2:$K$501,$A129,Logbook!$M$2:$M$501,"S-TS")</f>
        <v>0</v>
      </c>
      <c r="F129" s="14" t="n">
        <f aca="false">COUNTIFS(Logbook!$K$2:$K$501,$A129,Logbook!$M$2:$M$501,"S-TU")</f>
        <v>0</v>
      </c>
      <c r="G129" s="14" t="n">
        <f aca="false">COUNTIFS(Logbook!$K$2:$K$501,$A129,Logbook!$M$2:$M$501,"P")</f>
        <v>0</v>
      </c>
      <c r="H129" s="14" t="n">
        <f aca="false">COUNTIFS(Logbook!$K$2:$K$501,$A129,Logbook!$M$2:$M$501,"T")</f>
        <v>0</v>
      </c>
      <c r="I129" s="14" t="n">
        <f aca="false">SUM(B129:H129)</f>
        <v>0</v>
      </c>
      <c r="J129" s="11"/>
    </row>
    <row r="130" customFormat="false" ht="15" hidden="false" customHeight="false" outlineLevel="0" collapsed="false">
      <c r="A130" s="14" t="s">
        <v>206</v>
      </c>
      <c r="B130" s="14" t="n">
        <f aca="false">COUNTIFS(Logbook!$K$2:$K$501,$A130,Logbook!$M$2:$M$501,"O")</f>
        <v>0</v>
      </c>
      <c r="C130" s="14" t="n">
        <f aca="false">COUNTIFS(Logbook!$K$2:$K$501,$A130,Logbook!$M$2:$M$501,"A2")</f>
        <v>0</v>
      </c>
      <c r="D130" s="14" t="n">
        <f aca="false">COUNTIFS(Logbook!$K$2:$K$501,$A130,Logbook!$M$2:$M$501,"A")</f>
        <v>0</v>
      </c>
      <c r="E130" s="14" t="n">
        <f aca="false">COUNTIFS(Logbook!$K$2:$K$501,$A130,Logbook!$M$2:$M$501,"S-TS")</f>
        <v>0</v>
      </c>
      <c r="F130" s="14" t="n">
        <f aca="false">COUNTIFS(Logbook!$K$2:$K$501,$A130,Logbook!$M$2:$M$501,"S-TU")</f>
        <v>0</v>
      </c>
      <c r="G130" s="14" t="n">
        <f aca="false">COUNTIFS(Logbook!$K$2:$K$501,$A130,Logbook!$M$2:$M$501,"P")</f>
        <v>0</v>
      </c>
      <c r="H130" s="14" t="n">
        <f aca="false">COUNTIFS(Logbook!$K$2:$K$501,$A130,Logbook!$M$2:$M$501,"T")</f>
        <v>0</v>
      </c>
      <c r="I130" s="14" t="n">
        <f aca="false">SUM(B130:H130)</f>
        <v>0</v>
      </c>
      <c r="J130" s="11"/>
    </row>
    <row r="131" customFormat="false" ht="15" hidden="false" customHeight="false" outlineLevel="0" collapsed="false">
      <c r="A131" s="14" t="s">
        <v>207</v>
      </c>
      <c r="B131" s="14" t="n">
        <f aca="false">COUNTIFS(Logbook!$K$2:$K$501,$A131,Logbook!$M$2:$M$501,"O")</f>
        <v>0</v>
      </c>
      <c r="C131" s="14" t="n">
        <f aca="false">COUNTIFS(Logbook!$K$2:$K$501,$A131,Logbook!$M$2:$M$501,"A2")</f>
        <v>0</v>
      </c>
      <c r="D131" s="14" t="n">
        <f aca="false">COUNTIFS(Logbook!$K$2:$K$501,$A131,Logbook!$M$2:$M$501,"A")</f>
        <v>0</v>
      </c>
      <c r="E131" s="14" t="n">
        <f aca="false">COUNTIFS(Logbook!$K$2:$K$501,$A131,Logbook!$M$2:$M$501,"S-TS")</f>
        <v>0</v>
      </c>
      <c r="F131" s="14" t="n">
        <f aca="false">COUNTIFS(Logbook!$K$2:$K$501,$A131,Logbook!$M$2:$M$501,"S-TU")</f>
        <v>0</v>
      </c>
      <c r="G131" s="14" t="n">
        <f aca="false">COUNTIFS(Logbook!$K$2:$K$501,$A131,Logbook!$M$2:$M$501,"P")</f>
        <v>0</v>
      </c>
      <c r="H131" s="14" t="n">
        <f aca="false">COUNTIFS(Logbook!$K$2:$K$501,$A131,Logbook!$M$2:$M$501,"T")</f>
        <v>0</v>
      </c>
      <c r="I131" s="14" t="n">
        <f aca="false">SUM(B131:H131)</f>
        <v>0</v>
      </c>
      <c r="J131" s="11"/>
    </row>
    <row r="132" customFormat="false" ht="15" hidden="false" customHeight="false" outlineLevel="0" collapsed="false">
      <c r="A132" s="14" t="s">
        <v>208</v>
      </c>
      <c r="B132" s="14" t="n">
        <f aca="false">COUNTIFS(Logbook!$K$2:$K$501,$A132,Logbook!$M$2:$M$501,"O")</f>
        <v>0</v>
      </c>
      <c r="C132" s="14" t="n">
        <f aca="false">COUNTIFS(Logbook!$K$2:$K$501,$A132,Logbook!$M$2:$M$501,"A2")</f>
        <v>0</v>
      </c>
      <c r="D132" s="14" t="n">
        <f aca="false">COUNTIFS(Logbook!$K$2:$K$501,$A132,Logbook!$M$2:$M$501,"A")</f>
        <v>0</v>
      </c>
      <c r="E132" s="14" t="n">
        <f aca="false">COUNTIFS(Logbook!$K$2:$K$501,$A132,Logbook!$M$2:$M$501,"S-TS")</f>
        <v>0</v>
      </c>
      <c r="F132" s="14" t="n">
        <f aca="false">COUNTIFS(Logbook!$K$2:$K$501,$A132,Logbook!$M$2:$M$501,"S-TU")</f>
        <v>0</v>
      </c>
      <c r="G132" s="14" t="n">
        <f aca="false">COUNTIFS(Logbook!$K$2:$K$501,$A132,Logbook!$M$2:$M$501,"P")</f>
        <v>0</v>
      </c>
      <c r="H132" s="14" t="n">
        <f aca="false">COUNTIFS(Logbook!$K$2:$K$501,$A132,Logbook!$M$2:$M$501,"T")</f>
        <v>0</v>
      </c>
      <c r="I132" s="14" t="n">
        <f aca="false">SUM(B132:H132)</f>
        <v>0</v>
      </c>
      <c r="J132" s="11"/>
    </row>
    <row r="133" customFormat="false" ht="15" hidden="false" customHeight="false" outlineLevel="0" collapsed="false">
      <c r="A133" s="14" t="s">
        <v>209</v>
      </c>
      <c r="B133" s="14" t="n">
        <f aca="false">COUNTIFS(Logbook!$K$2:$K$501,$A133,Logbook!$M$2:$M$501,"O")</f>
        <v>0</v>
      </c>
      <c r="C133" s="14" t="n">
        <f aca="false">COUNTIFS(Logbook!$K$2:$K$501,$A133,Logbook!$M$2:$M$501,"A2")</f>
        <v>0</v>
      </c>
      <c r="D133" s="14" t="n">
        <f aca="false">COUNTIFS(Logbook!$K$2:$K$501,$A133,Logbook!$M$2:$M$501,"A")</f>
        <v>0</v>
      </c>
      <c r="E133" s="14" t="n">
        <f aca="false">COUNTIFS(Logbook!$K$2:$K$501,$A133,Logbook!$M$2:$M$501,"S-TS")</f>
        <v>0</v>
      </c>
      <c r="F133" s="14" t="n">
        <f aca="false">COUNTIFS(Logbook!$K$2:$K$501,$A133,Logbook!$M$2:$M$501,"S-TU")</f>
        <v>0</v>
      </c>
      <c r="G133" s="14" t="n">
        <f aca="false">COUNTIFS(Logbook!$K$2:$K$501,$A133,Logbook!$M$2:$M$501,"P")</f>
        <v>0</v>
      </c>
      <c r="H133" s="14" t="n">
        <f aca="false">COUNTIFS(Logbook!$K$2:$K$501,$A133,Logbook!$M$2:$M$501,"T")</f>
        <v>0</v>
      </c>
      <c r="I133" s="14" t="n">
        <f aca="false">SUM(B133:H133)</f>
        <v>0</v>
      </c>
      <c r="J133" s="11"/>
    </row>
    <row r="134" customFormat="false" ht="15" hidden="false" customHeight="false" outlineLevel="0" collapsed="false">
      <c r="A134" s="14" t="s">
        <v>210</v>
      </c>
      <c r="B134" s="14" t="n">
        <f aca="false">COUNTIFS(Logbook!$K$2:$K$501,$A134,Logbook!$M$2:$M$501,"O")</f>
        <v>0</v>
      </c>
      <c r="C134" s="14" t="n">
        <f aca="false">COUNTIFS(Logbook!$K$2:$K$501,$A134,Logbook!$M$2:$M$501,"A2")</f>
        <v>0</v>
      </c>
      <c r="D134" s="14" t="n">
        <f aca="false">COUNTIFS(Logbook!$K$2:$K$501,$A134,Logbook!$M$2:$M$501,"A")</f>
        <v>0</v>
      </c>
      <c r="E134" s="14" t="n">
        <f aca="false">COUNTIFS(Logbook!$K$2:$K$501,$A134,Logbook!$M$2:$M$501,"S-TS")</f>
        <v>0</v>
      </c>
      <c r="F134" s="14" t="n">
        <f aca="false">COUNTIFS(Logbook!$K$2:$K$501,$A134,Logbook!$M$2:$M$501,"S-TU")</f>
        <v>0</v>
      </c>
      <c r="G134" s="14" t="n">
        <f aca="false">COUNTIFS(Logbook!$K$2:$K$501,$A134,Logbook!$M$2:$M$501,"P")</f>
        <v>0</v>
      </c>
      <c r="H134" s="14" t="n">
        <f aca="false">COUNTIFS(Logbook!$K$2:$K$501,$A134,Logbook!$M$2:$M$501,"T")</f>
        <v>0</v>
      </c>
      <c r="I134" s="14" t="n">
        <f aca="false">SUM(B134:H134)</f>
        <v>0</v>
      </c>
      <c r="J134" s="11"/>
    </row>
    <row r="135" customFormat="false" ht="15" hidden="false" customHeight="false" outlineLevel="0" collapsed="false">
      <c r="A135" s="14" t="s">
        <v>211</v>
      </c>
      <c r="B135" s="14" t="n">
        <f aca="false">COUNTIFS(Logbook!$K$2:$K$501,$A135,Logbook!$M$2:$M$501,"O")</f>
        <v>0</v>
      </c>
      <c r="C135" s="14" t="n">
        <f aca="false">COUNTIFS(Logbook!$K$2:$K$501,$A135,Logbook!$M$2:$M$501,"A2")</f>
        <v>0</v>
      </c>
      <c r="D135" s="14" t="n">
        <f aca="false">COUNTIFS(Logbook!$K$2:$K$501,$A135,Logbook!$M$2:$M$501,"A")</f>
        <v>0</v>
      </c>
      <c r="E135" s="14" t="n">
        <f aca="false">COUNTIFS(Logbook!$K$2:$K$501,$A135,Logbook!$M$2:$M$501,"S-TS")</f>
        <v>0</v>
      </c>
      <c r="F135" s="14" t="n">
        <f aca="false">COUNTIFS(Logbook!$K$2:$K$501,$A135,Logbook!$M$2:$M$501,"S-TU")</f>
        <v>0</v>
      </c>
      <c r="G135" s="14" t="n">
        <f aca="false">COUNTIFS(Logbook!$K$2:$K$501,$A135,Logbook!$M$2:$M$501,"P")</f>
        <v>0</v>
      </c>
      <c r="H135" s="14" t="n">
        <f aca="false">COUNTIFS(Logbook!$K$2:$K$501,$A135,Logbook!$M$2:$M$501,"T")</f>
        <v>0</v>
      </c>
      <c r="I135" s="14" t="n">
        <f aca="false">SUM(B135:H135)</f>
        <v>0</v>
      </c>
      <c r="J135" s="11"/>
    </row>
    <row r="136" customFormat="false" ht="15" hidden="false" customHeight="false" outlineLevel="0" collapsed="false">
      <c r="A136" s="14" t="s">
        <v>212</v>
      </c>
      <c r="B136" s="14" t="n">
        <f aca="false">COUNTIFS(Logbook!$K$2:$K$501,$A136,Logbook!$M$2:$M$501,"O")</f>
        <v>0</v>
      </c>
      <c r="C136" s="14" t="n">
        <f aca="false">COUNTIFS(Logbook!$K$2:$K$501,$A136,Logbook!$M$2:$M$501,"A2")</f>
        <v>0</v>
      </c>
      <c r="D136" s="14" t="n">
        <f aca="false">COUNTIFS(Logbook!$K$2:$K$501,$A136,Logbook!$M$2:$M$501,"A")</f>
        <v>0</v>
      </c>
      <c r="E136" s="14" t="n">
        <f aca="false">COUNTIFS(Logbook!$K$2:$K$501,$A136,Logbook!$M$2:$M$501,"S-TS")</f>
        <v>0</v>
      </c>
      <c r="F136" s="14" t="n">
        <f aca="false">COUNTIFS(Logbook!$K$2:$K$501,$A136,Logbook!$M$2:$M$501,"S-TU")</f>
        <v>0</v>
      </c>
      <c r="G136" s="14" t="n">
        <f aca="false">COUNTIFS(Logbook!$K$2:$K$501,$A136,Logbook!$M$2:$M$501,"P")</f>
        <v>0</v>
      </c>
      <c r="H136" s="14" t="n">
        <f aca="false">COUNTIFS(Logbook!$K$2:$K$501,$A136,Logbook!$M$2:$M$501,"T")</f>
        <v>0</v>
      </c>
      <c r="I136" s="14" t="n">
        <f aca="false">SUM(B136:H136)</f>
        <v>0</v>
      </c>
      <c r="J136" s="11"/>
    </row>
    <row r="137" customFormat="false" ht="15" hidden="false" customHeight="false" outlineLevel="0" collapsed="false">
      <c r="A137" s="14" t="s">
        <v>213</v>
      </c>
      <c r="B137" s="14" t="n">
        <f aca="false">COUNTIFS(Logbook!$K$2:$K$501,$A137,Logbook!$M$2:$M$501,"O")</f>
        <v>0</v>
      </c>
      <c r="C137" s="14" t="n">
        <f aca="false">COUNTIFS(Logbook!$K$2:$K$501,$A137,Logbook!$M$2:$M$501,"A2")</f>
        <v>0</v>
      </c>
      <c r="D137" s="14" t="n">
        <f aca="false">COUNTIFS(Logbook!$K$2:$K$501,$A137,Logbook!$M$2:$M$501,"A")</f>
        <v>0</v>
      </c>
      <c r="E137" s="14" t="n">
        <f aca="false">COUNTIFS(Logbook!$K$2:$K$501,$A137,Logbook!$M$2:$M$501,"S-TS")</f>
        <v>0</v>
      </c>
      <c r="F137" s="14" t="n">
        <f aca="false">COUNTIFS(Logbook!$K$2:$K$501,$A137,Logbook!$M$2:$M$501,"S-TU")</f>
        <v>0</v>
      </c>
      <c r="G137" s="14" t="n">
        <f aca="false">COUNTIFS(Logbook!$K$2:$K$501,$A137,Logbook!$M$2:$M$501,"P")</f>
        <v>0</v>
      </c>
      <c r="H137" s="14" t="n">
        <f aca="false">COUNTIFS(Logbook!$K$2:$K$501,$A137,Logbook!$M$2:$M$501,"T")</f>
        <v>0</v>
      </c>
      <c r="I137" s="14" t="n">
        <f aca="false">SUM(B137:H137)</f>
        <v>0</v>
      </c>
      <c r="J137" s="11"/>
    </row>
    <row r="138" customFormat="false" ht="15" hidden="false" customHeight="false" outlineLevel="0" collapsed="false">
      <c r="A138" s="14" t="s">
        <v>214</v>
      </c>
      <c r="B138" s="14" t="n">
        <f aca="false">COUNTIFS(Logbook!$K$2:$K$501,$A138,Logbook!$M$2:$M$501,"O")</f>
        <v>0</v>
      </c>
      <c r="C138" s="14" t="n">
        <f aca="false">COUNTIFS(Logbook!$K$2:$K$501,$A138,Logbook!$M$2:$M$501,"A2")</f>
        <v>0</v>
      </c>
      <c r="D138" s="14" t="n">
        <f aca="false">COUNTIFS(Logbook!$K$2:$K$501,$A138,Logbook!$M$2:$M$501,"A")</f>
        <v>0</v>
      </c>
      <c r="E138" s="14" t="n">
        <f aca="false">COUNTIFS(Logbook!$K$2:$K$501,$A138,Logbook!$M$2:$M$501,"S-TS")</f>
        <v>0</v>
      </c>
      <c r="F138" s="14" t="n">
        <f aca="false">COUNTIFS(Logbook!$K$2:$K$501,$A138,Logbook!$M$2:$M$501,"S-TU")</f>
        <v>0</v>
      </c>
      <c r="G138" s="14" t="n">
        <f aca="false">COUNTIFS(Logbook!$K$2:$K$501,$A138,Logbook!$M$2:$M$501,"P")</f>
        <v>0</v>
      </c>
      <c r="H138" s="14" t="n">
        <f aca="false">COUNTIFS(Logbook!$K$2:$K$501,$A138,Logbook!$M$2:$M$501,"T")</f>
        <v>0</v>
      </c>
      <c r="I138" s="14" t="n">
        <f aca="false">SUM(B138:H138)</f>
        <v>0</v>
      </c>
      <c r="J138" s="11"/>
    </row>
    <row r="139" customFormat="false" ht="15" hidden="false" customHeight="false" outlineLevel="0" collapsed="false">
      <c r="A139" s="14" t="s">
        <v>215</v>
      </c>
      <c r="B139" s="14" t="n">
        <f aca="false">COUNTIFS(Logbook!$K$2:$K$501,$A139,Logbook!$M$2:$M$501,"O")</f>
        <v>0</v>
      </c>
      <c r="C139" s="14" t="n">
        <f aca="false">COUNTIFS(Logbook!$K$2:$K$501,$A139,Logbook!$M$2:$M$501,"A2")</f>
        <v>0</v>
      </c>
      <c r="D139" s="14" t="n">
        <f aca="false">COUNTIFS(Logbook!$K$2:$K$501,$A139,Logbook!$M$2:$M$501,"A")</f>
        <v>0</v>
      </c>
      <c r="E139" s="14" t="n">
        <f aca="false">COUNTIFS(Logbook!$K$2:$K$501,$A139,Logbook!$M$2:$M$501,"S-TS")</f>
        <v>0</v>
      </c>
      <c r="F139" s="14" t="n">
        <f aca="false">COUNTIFS(Logbook!$K$2:$K$501,$A139,Logbook!$M$2:$M$501,"S-TU")</f>
        <v>0</v>
      </c>
      <c r="G139" s="14" t="n">
        <f aca="false">COUNTIFS(Logbook!$K$2:$K$501,$A139,Logbook!$M$2:$M$501,"P")</f>
        <v>0</v>
      </c>
      <c r="H139" s="14" t="n">
        <f aca="false">COUNTIFS(Logbook!$K$2:$K$501,$A139,Logbook!$M$2:$M$501,"T")</f>
        <v>0</v>
      </c>
      <c r="I139" s="14" t="n">
        <f aca="false">SUM(B139:H139)</f>
        <v>0</v>
      </c>
      <c r="J139" s="11"/>
    </row>
    <row r="140" customFormat="false" ht="15" hidden="false" customHeight="false" outlineLevel="0" collapsed="false">
      <c r="A140" s="14" t="s">
        <v>216</v>
      </c>
      <c r="B140" s="14" t="n">
        <f aca="false">COUNTIFS(Logbook!$K$2:$K$501,$A140,Logbook!$M$2:$M$501,"O")</f>
        <v>0</v>
      </c>
      <c r="C140" s="14" t="n">
        <f aca="false">COUNTIFS(Logbook!$K$2:$K$501,$A140,Logbook!$M$2:$M$501,"A2")</f>
        <v>0</v>
      </c>
      <c r="D140" s="14" t="n">
        <f aca="false">COUNTIFS(Logbook!$K$2:$K$501,$A140,Logbook!$M$2:$M$501,"A")</f>
        <v>0</v>
      </c>
      <c r="E140" s="14" t="n">
        <f aca="false">COUNTIFS(Logbook!$K$2:$K$501,$A140,Logbook!$M$2:$M$501,"S-TS")</f>
        <v>0</v>
      </c>
      <c r="F140" s="14" t="n">
        <f aca="false">COUNTIFS(Logbook!$K$2:$K$501,$A140,Logbook!$M$2:$M$501,"S-TU")</f>
        <v>0</v>
      </c>
      <c r="G140" s="14" t="n">
        <f aca="false">COUNTIFS(Logbook!$K$2:$K$501,$A140,Logbook!$M$2:$M$501,"P")</f>
        <v>0</v>
      </c>
      <c r="H140" s="14" t="n">
        <f aca="false">COUNTIFS(Logbook!$K$2:$K$501,$A140,Logbook!$M$2:$M$501,"T")</f>
        <v>0</v>
      </c>
      <c r="I140" s="14" t="n">
        <f aca="false">SUM(B140:H140)</f>
        <v>0</v>
      </c>
      <c r="J140" s="11"/>
    </row>
    <row r="141" customFormat="false" ht="15" hidden="false" customHeight="false" outlineLevel="0" collapsed="false">
      <c r="A141" s="14" t="s">
        <v>217</v>
      </c>
      <c r="B141" s="14" t="n">
        <f aca="false">COUNTIFS(Logbook!$K$2:$K$501,$A141,Logbook!$M$2:$M$501,"O")</f>
        <v>0</v>
      </c>
      <c r="C141" s="14" t="n">
        <f aca="false">COUNTIFS(Logbook!$K$2:$K$501,$A141,Logbook!$M$2:$M$501,"A2")</f>
        <v>0</v>
      </c>
      <c r="D141" s="14" t="n">
        <f aca="false">COUNTIFS(Logbook!$K$2:$K$501,$A141,Logbook!$M$2:$M$501,"A")</f>
        <v>0</v>
      </c>
      <c r="E141" s="14" t="n">
        <f aca="false">COUNTIFS(Logbook!$K$2:$K$501,$A141,Logbook!$M$2:$M$501,"S-TS")</f>
        <v>0</v>
      </c>
      <c r="F141" s="14" t="n">
        <f aca="false">COUNTIFS(Logbook!$K$2:$K$501,$A141,Logbook!$M$2:$M$501,"S-TU")</f>
        <v>0</v>
      </c>
      <c r="G141" s="14" t="n">
        <f aca="false">COUNTIFS(Logbook!$K$2:$K$501,$A141,Logbook!$M$2:$M$501,"P")</f>
        <v>0</v>
      </c>
      <c r="H141" s="14" t="n">
        <f aca="false">COUNTIFS(Logbook!$K$2:$K$501,$A141,Logbook!$M$2:$M$501,"T")</f>
        <v>0</v>
      </c>
      <c r="I141" s="14" t="n">
        <f aca="false">SUM(B141:H141)</f>
        <v>0</v>
      </c>
      <c r="J141" s="11"/>
    </row>
    <row r="142" customFormat="false" ht="15" hidden="false" customHeight="false" outlineLevel="0" collapsed="false">
      <c r="A142" s="14" t="s">
        <v>218</v>
      </c>
      <c r="B142" s="14" t="n">
        <f aca="false">COUNTIFS(Logbook!$K$2:$K$501,$A142,Logbook!$M$2:$M$501,"O")</f>
        <v>0</v>
      </c>
      <c r="C142" s="14" t="n">
        <f aca="false">COUNTIFS(Logbook!$K$2:$K$501,$A142,Logbook!$M$2:$M$501,"A2")</f>
        <v>0</v>
      </c>
      <c r="D142" s="14" t="n">
        <f aca="false">COUNTIFS(Logbook!$K$2:$K$501,$A142,Logbook!$M$2:$M$501,"A")</f>
        <v>0</v>
      </c>
      <c r="E142" s="14" t="n">
        <f aca="false">COUNTIFS(Logbook!$K$2:$K$501,$A142,Logbook!$M$2:$M$501,"S-TS")</f>
        <v>0</v>
      </c>
      <c r="F142" s="14" t="n">
        <f aca="false">COUNTIFS(Logbook!$K$2:$K$501,$A142,Logbook!$M$2:$M$501,"S-TU")</f>
        <v>0</v>
      </c>
      <c r="G142" s="14" t="n">
        <f aca="false">COUNTIFS(Logbook!$K$2:$K$501,$A142,Logbook!$M$2:$M$501,"P")</f>
        <v>0</v>
      </c>
      <c r="H142" s="14" t="n">
        <f aca="false">COUNTIFS(Logbook!$K$2:$K$501,$A142,Logbook!$M$2:$M$501,"T")</f>
        <v>0</v>
      </c>
      <c r="I142" s="14" t="n">
        <f aca="false">SUM(B142:H142)</f>
        <v>0</v>
      </c>
      <c r="J142" s="11"/>
    </row>
    <row r="143" customFormat="false" ht="15" hidden="false" customHeight="false" outlineLevel="0" collapsed="false">
      <c r="A143" s="14" t="s">
        <v>219</v>
      </c>
      <c r="B143" s="14" t="n">
        <f aca="false">COUNTIFS(Logbook!$K$2:$K$501,$A143,Logbook!$M$2:$M$501,"O")</f>
        <v>0</v>
      </c>
      <c r="C143" s="14" t="n">
        <f aca="false">COUNTIFS(Logbook!$K$2:$K$501,$A143,Logbook!$M$2:$M$501,"A2")</f>
        <v>0</v>
      </c>
      <c r="D143" s="14" t="n">
        <f aca="false">COUNTIFS(Logbook!$K$2:$K$501,$A143,Logbook!$M$2:$M$501,"A")</f>
        <v>0</v>
      </c>
      <c r="E143" s="14" t="n">
        <f aca="false">COUNTIFS(Logbook!$K$2:$K$501,$A143,Logbook!$M$2:$M$501,"S-TS")</f>
        <v>0</v>
      </c>
      <c r="F143" s="14" t="n">
        <f aca="false">COUNTIFS(Logbook!$K$2:$K$501,$A143,Logbook!$M$2:$M$501,"S-TU")</f>
        <v>0</v>
      </c>
      <c r="G143" s="14" t="n">
        <f aca="false">COUNTIFS(Logbook!$K$2:$K$501,$A143,Logbook!$M$2:$M$501,"P")</f>
        <v>0</v>
      </c>
      <c r="H143" s="14" t="n">
        <f aca="false">COUNTIFS(Logbook!$K$2:$K$501,$A143,Logbook!$M$2:$M$501,"T")</f>
        <v>0</v>
      </c>
      <c r="I143" s="14" t="n">
        <f aca="false">SUM(B143:H143)</f>
        <v>0</v>
      </c>
      <c r="J14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  <col collapsed="false" customWidth="true" hidden="false" outlineLevel="0" max="11" min="11" style="0" width="60"/>
  </cols>
  <sheetData>
    <row r="1" customFormat="false" ht="15" hidden="false" customHeight="false" outlineLevel="0" collapsed="false">
      <c r="A1" s="2" t="s">
        <v>220</v>
      </c>
      <c r="B1" s="2" t="s">
        <v>221</v>
      </c>
      <c r="C1" s="2" t="s">
        <v>48</v>
      </c>
      <c r="D1" s="2" t="s">
        <v>47</v>
      </c>
      <c r="E1" s="2" t="s">
        <v>222</v>
      </c>
      <c r="F1" s="2" t="s">
        <v>59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</row>
    <row r="2" customFormat="false" ht="15" hidden="false" customHeight="false" outlineLevel="0" collapsed="false">
      <c r="A2" s="7" t="s">
        <v>16</v>
      </c>
      <c r="B2" s="7" t="s">
        <v>71</v>
      </c>
      <c r="C2" s="7" t="s">
        <v>70</v>
      </c>
      <c r="D2" s="7" t="s">
        <v>69</v>
      </c>
      <c r="E2" s="7" t="s">
        <v>68</v>
      </c>
      <c r="F2" s="7" t="s">
        <v>76</v>
      </c>
      <c r="G2" s="7" t="s">
        <v>228</v>
      </c>
      <c r="H2" s="7" t="s">
        <v>77</v>
      </c>
      <c r="I2" s="7" t="s">
        <v>78</v>
      </c>
      <c r="J2" s="7" t="s">
        <v>66</v>
      </c>
      <c r="K2" s="7" t="s">
        <v>95</v>
      </c>
    </row>
    <row r="3" customFormat="false" ht="15" hidden="false" customHeight="false" outlineLevel="0" collapsed="false">
      <c r="A3" s="7" t="s">
        <v>19</v>
      </c>
      <c r="B3" s="7" t="s">
        <v>85</v>
      </c>
      <c r="C3" s="7" t="s">
        <v>229</v>
      </c>
      <c r="D3" s="7" t="s">
        <v>230</v>
      </c>
      <c r="E3" s="7" t="s">
        <v>231</v>
      </c>
      <c r="F3" s="7" t="s">
        <v>232</v>
      </c>
      <c r="G3" s="7" t="s">
        <v>233</v>
      </c>
      <c r="H3" s="7" t="s">
        <v>234</v>
      </c>
      <c r="I3" s="7" t="s">
        <v>235</v>
      </c>
      <c r="J3" s="7" t="s">
        <v>236</v>
      </c>
      <c r="K3" s="7" t="s">
        <v>96</v>
      </c>
    </row>
    <row r="4" customFormat="false" ht="15" hidden="false" customHeight="false" outlineLevel="0" collapsed="false">
      <c r="A4" s="7" t="s">
        <v>22</v>
      </c>
      <c r="B4" s="7" t="s">
        <v>86</v>
      </c>
      <c r="C4" s="7" t="s">
        <v>237</v>
      </c>
      <c r="E4" s="7" t="s">
        <v>238</v>
      </c>
      <c r="F4" s="7" t="s">
        <v>239</v>
      </c>
      <c r="G4" s="7" t="s">
        <v>240</v>
      </c>
      <c r="I4" s="7" t="s">
        <v>241</v>
      </c>
      <c r="J4" s="7" t="s">
        <v>242</v>
      </c>
      <c r="K4" s="7" t="s">
        <v>97</v>
      </c>
    </row>
    <row r="5" customFormat="false" ht="15" hidden="false" customHeight="false" outlineLevel="0" collapsed="false">
      <c r="A5" s="7" t="s">
        <v>25</v>
      </c>
      <c r="B5" s="7" t="s">
        <v>87</v>
      </c>
      <c r="C5" s="7" t="s">
        <v>243</v>
      </c>
      <c r="G5" s="7" t="s">
        <v>244</v>
      </c>
      <c r="J5" s="7" t="s">
        <v>245</v>
      </c>
      <c r="K5" s="7" t="s">
        <v>98</v>
      </c>
    </row>
    <row r="6" customFormat="false" ht="15" hidden="false" customHeight="false" outlineLevel="0" collapsed="false">
      <c r="A6" s="7" t="s">
        <v>28</v>
      </c>
      <c r="B6" s="7" t="s">
        <v>88</v>
      </c>
      <c r="G6" s="7" t="s">
        <v>246</v>
      </c>
      <c r="J6" s="7" t="s">
        <v>247</v>
      </c>
      <c r="K6" s="7" t="s">
        <v>99</v>
      </c>
    </row>
    <row r="7" customFormat="false" ht="15" hidden="false" customHeight="false" outlineLevel="0" collapsed="false">
      <c r="A7" s="7" t="s">
        <v>31</v>
      </c>
      <c r="B7" s="7" t="s">
        <v>89</v>
      </c>
      <c r="G7" s="7" t="s">
        <v>248</v>
      </c>
      <c r="J7" s="7" t="s">
        <v>249</v>
      </c>
      <c r="K7" s="7" t="s">
        <v>100</v>
      </c>
    </row>
    <row r="8" customFormat="false" ht="15" hidden="false" customHeight="false" outlineLevel="0" collapsed="false">
      <c r="A8" s="7" t="s">
        <v>34</v>
      </c>
      <c r="B8" s="7" t="s">
        <v>90</v>
      </c>
      <c r="G8" s="7" t="s">
        <v>250</v>
      </c>
      <c r="J8" s="7" t="s">
        <v>251</v>
      </c>
      <c r="K8" s="7" t="s">
        <v>101</v>
      </c>
    </row>
    <row r="9" customFormat="false" ht="15" hidden="false" customHeight="false" outlineLevel="0" collapsed="false">
      <c r="B9" s="7" t="s">
        <v>91</v>
      </c>
      <c r="J9" s="7" t="s">
        <v>252</v>
      </c>
      <c r="K9" s="7" t="s">
        <v>102</v>
      </c>
    </row>
    <row r="10" customFormat="false" ht="15" hidden="false" customHeight="false" outlineLevel="0" collapsed="false">
      <c r="B10" s="7" t="s">
        <v>92</v>
      </c>
      <c r="J10" s="7" t="s">
        <v>253</v>
      </c>
      <c r="K10" s="7" t="s">
        <v>103</v>
      </c>
    </row>
    <row r="11" customFormat="false" ht="15" hidden="false" customHeight="false" outlineLevel="0" collapsed="false">
      <c r="J11" s="7" t="s">
        <v>254</v>
      </c>
      <c r="K11" s="7" t="s">
        <v>104</v>
      </c>
    </row>
    <row r="12" customFormat="false" ht="15" hidden="false" customHeight="false" outlineLevel="0" collapsed="false">
      <c r="J12" s="7" t="s">
        <v>255</v>
      </c>
      <c r="K12" s="7" t="s">
        <v>105</v>
      </c>
    </row>
    <row r="13" customFormat="false" ht="15" hidden="false" customHeight="false" outlineLevel="0" collapsed="false">
      <c r="J13" s="7" t="s">
        <v>256</v>
      </c>
      <c r="K13" s="7" t="s">
        <v>106</v>
      </c>
    </row>
    <row r="14" customFormat="false" ht="15" hidden="false" customHeight="false" outlineLevel="0" collapsed="false">
      <c r="K14" s="7" t="s">
        <v>107</v>
      </c>
    </row>
    <row r="15" customFormat="false" ht="15" hidden="false" customHeight="false" outlineLevel="0" collapsed="false">
      <c r="K15" s="7" t="s">
        <v>108</v>
      </c>
    </row>
    <row r="16" customFormat="false" ht="15" hidden="false" customHeight="false" outlineLevel="0" collapsed="false">
      <c r="K16" s="7" t="s">
        <v>109</v>
      </c>
    </row>
    <row r="17" customFormat="false" ht="15" hidden="false" customHeight="false" outlineLevel="0" collapsed="false">
      <c r="K17" s="7" t="s">
        <v>73</v>
      </c>
    </row>
    <row r="18" customFormat="false" ht="15" hidden="false" customHeight="false" outlineLevel="0" collapsed="false">
      <c r="K18" s="7" t="s">
        <v>110</v>
      </c>
    </row>
    <row r="19" customFormat="false" ht="15" hidden="false" customHeight="false" outlineLevel="0" collapsed="false">
      <c r="K19" s="7" t="s">
        <v>111</v>
      </c>
    </row>
    <row r="20" customFormat="false" ht="15" hidden="false" customHeight="false" outlineLevel="0" collapsed="false">
      <c r="K20" s="7" t="s">
        <v>112</v>
      </c>
    </row>
    <row r="21" customFormat="false" ht="15" hidden="false" customHeight="false" outlineLevel="0" collapsed="false">
      <c r="K21" s="7" t="s">
        <v>113</v>
      </c>
    </row>
    <row r="22" customFormat="false" ht="15" hidden="false" customHeight="false" outlineLevel="0" collapsed="false">
      <c r="K22" s="7" t="s">
        <v>114</v>
      </c>
    </row>
    <row r="23" customFormat="false" ht="15" hidden="false" customHeight="false" outlineLevel="0" collapsed="false">
      <c r="K23" s="7" t="s">
        <v>115</v>
      </c>
    </row>
    <row r="24" customFormat="false" ht="15" hidden="false" customHeight="false" outlineLevel="0" collapsed="false">
      <c r="K24" s="7" t="s">
        <v>116</v>
      </c>
    </row>
    <row r="25" customFormat="false" ht="15" hidden="false" customHeight="false" outlineLevel="0" collapsed="false">
      <c r="K25" s="7" t="s">
        <v>117</v>
      </c>
    </row>
    <row r="26" customFormat="false" ht="15" hidden="false" customHeight="false" outlineLevel="0" collapsed="false">
      <c r="K26" s="7" t="s">
        <v>118</v>
      </c>
    </row>
    <row r="27" customFormat="false" ht="15" hidden="false" customHeight="false" outlineLevel="0" collapsed="false">
      <c r="K27" s="7" t="s">
        <v>119</v>
      </c>
    </row>
    <row r="28" customFormat="false" ht="15" hidden="false" customHeight="false" outlineLevel="0" collapsed="false">
      <c r="K28" s="7" t="s">
        <v>120</v>
      </c>
    </row>
    <row r="29" customFormat="false" ht="15" hidden="false" customHeight="false" outlineLevel="0" collapsed="false">
      <c r="K29" s="7" t="s">
        <v>121</v>
      </c>
    </row>
    <row r="30" customFormat="false" ht="15" hidden="false" customHeight="false" outlineLevel="0" collapsed="false">
      <c r="K30" s="7" t="s">
        <v>122</v>
      </c>
    </row>
    <row r="31" customFormat="false" ht="15" hidden="false" customHeight="false" outlineLevel="0" collapsed="false">
      <c r="K31" s="7" t="s">
        <v>123</v>
      </c>
    </row>
    <row r="32" customFormat="false" ht="15" hidden="false" customHeight="false" outlineLevel="0" collapsed="false">
      <c r="K32" s="7" t="s">
        <v>124</v>
      </c>
    </row>
    <row r="33" customFormat="false" ht="15" hidden="false" customHeight="false" outlineLevel="0" collapsed="false">
      <c r="K33" s="7" t="s">
        <v>125</v>
      </c>
    </row>
    <row r="34" customFormat="false" ht="15" hidden="false" customHeight="false" outlineLevel="0" collapsed="false">
      <c r="K34" s="7" t="s">
        <v>126</v>
      </c>
    </row>
    <row r="35" customFormat="false" ht="15" hidden="false" customHeight="false" outlineLevel="0" collapsed="false">
      <c r="K35" s="7" t="s">
        <v>127</v>
      </c>
    </row>
    <row r="36" customFormat="false" ht="15" hidden="false" customHeight="false" outlineLevel="0" collapsed="false">
      <c r="K36" s="7" t="s">
        <v>128</v>
      </c>
    </row>
    <row r="37" customFormat="false" ht="15" hidden="false" customHeight="false" outlineLevel="0" collapsed="false">
      <c r="K37" s="7" t="s">
        <v>129</v>
      </c>
    </row>
    <row r="38" customFormat="false" ht="15" hidden="false" customHeight="false" outlineLevel="0" collapsed="false">
      <c r="K38" s="7" t="s">
        <v>130</v>
      </c>
    </row>
    <row r="39" customFormat="false" ht="15" hidden="false" customHeight="false" outlineLevel="0" collapsed="false">
      <c r="K39" s="7" t="s">
        <v>131</v>
      </c>
    </row>
    <row r="40" customFormat="false" ht="15" hidden="false" customHeight="false" outlineLevel="0" collapsed="false">
      <c r="K40" s="7" t="s">
        <v>132</v>
      </c>
    </row>
    <row r="41" customFormat="false" ht="15" hidden="false" customHeight="false" outlineLevel="0" collapsed="false">
      <c r="K41" s="7" t="s">
        <v>133</v>
      </c>
    </row>
    <row r="42" customFormat="false" ht="15" hidden="false" customHeight="false" outlineLevel="0" collapsed="false">
      <c r="K42" s="7" t="s">
        <v>134</v>
      </c>
    </row>
    <row r="43" customFormat="false" ht="15" hidden="false" customHeight="false" outlineLevel="0" collapsed="false">
      <c r="K43" s="7" t="s">
        <v>135</v>
      </c>
    </row>
    <row r="44" customFormat="false" ht="15" hidden="false" customHeight="false" outlineLevel="0" collapsed="false">
      <c r="K44" s="7" t="s">
        <v>136</v>
      </c>
    </row>
    <row r="45" customFormat="false" ht="15" hidden="false" customHeight="false" outlineLevel="0" collapsed="false">
      <c r="K45" s="7" t="s">
        <v>137</v>
      </c>
    </row>
    <row r="46" customFormat="false" ht="15" hidden="false" customHeight="false" outlineLevel="0" collapsed="false">
      <c r="K46" s="7" t="s">
        <v>138</v>
      </c>
    </row>
    <row r="47" customFormat="false" ht="15" hidden="false" customHeight="false" outlineLevel="0" collapsed="false">
      <c r="K47" s="7" t="s">
        <v>139</v>
      </c>
    </row>
    <row r="48" customFormat="false" ht="15" hidden="false" customHeight="false" outlineLevel="0" collapsed="false">
      <c r="K48" s="7" t="s">
        <v>140</v>
      </c>
    </row>
    <row r="49" customFormat="false" ht="15" hidden="false" customHeight="false" outlineLevel="0" collapsed="false">
      <c r="K49" s="7" t="s">
        <v>141</v>
      </c>
    </row>
    <row r="50" customFormat="false" ht="15" hidden="false" customHeight="false" outlineLevel="0" collapsed="false">
      <c r="K50" s="7" t="s">
        <v>142</v>
      </c>
    </row>
    <row r="51" customFormat="false" ht="15" hidden="false" customHeight="false" outlineLevel="0" collapsed="false">
      <c r="K51" s="7" t="s">
        <v>143</v>
      </c>
    </row>
    <row r="52" customFormat="false" ht="15" hidden="false" customHeight="false" outlineLevel="0" collapsed="false">
      <c r="K52" s="7" t="s">
        <v>144</v>
      </c>
    </row>
    <row r="53" customFormat="false" ht="15" hidden="false" customHeight="false" outlineLevel="0" collapsed="false">
      <c r="K53" s="7" t="s">
        <v>145</v>
      </c>
    </row>
    <row r="54" customFormat="false" ht="15" hidden="false" customHeight="false" outlineLevel="0" collapsed="false">
      <c r="K54" s="7" t="s">
        <v>146</v>
      </c>
    </row>
    <row r="55" customFormat="false" ht="15" hidden="false" customHeight="false" outlineLevel="0" collapsed="false">
      <c r="K55" s="7" t="s">
        <v>147</v>
      </c>
    </row>
    <row r="56" customFormat="false" ht="15" hidden="false" customHeight="false" outlineLevel="0" collapsed="false">
      <c r="K56" s="7" t="s">
        <v>148</v>
      </c>
    </row>
    <row r="57" customFormat="false" ht="15" hidden="false" customHeight="false" outlineLevel="0" collapsed="false">
      <c r="K57" s="7" t="s">
        <v>149</v>
      </c>
    </row>
    <row r="58" customFormat="false" ht="15" hidden="false" customHeight="false" outlineLevel="0" collapsed="false">
      <c r="K58" s="7" t="s">
        <v>150</v>
      </c>
    </row>
    <row r="59" customFormat="false" ht="15" hidden="false" customHeight="false" outlineLevel="0" collapsed="false">
      <c r="K59" s="7" t="s">
        <v>151</v>
      </c>
    </row>
    <row r="60" customFormat="false" ht="15" hidden="false" customHeight="false" outlineLevel="0" collapsed="false">
      <c r="K60" s="7" t="s">
        <v>152</v>
      </c>
    </row>
    <row r="61" customFormat="false" ht="15" hidden="false" customHeight="false" outlineLevel="0" collapsed="false">
      <c r="K61" s="7" t="s">
        <v>153</v>
      </c>
    </row>
    <row r="62" customFormat="false" ht="15" hidden="false" customHeight="false" outlineLevel="0" collapsed="false">
      <c r="K62" s="7" t="s">
        <v>154</v>
      </c>
    </row>
    <row r="63" customFormat="false" ht="15" hidden="false" customHeight="false" outlineLevel="0" collapsed="false">
      <c r="K63" s="7" t="s">
        <v>155</v>
      </c>
    </row>
    <row r="64" customFormat="false" ht="15" hidden="false" customHeight="false" outlineLevel="0" collapsed="false">
      <c r="K64" s="7" t="s">
        <v>156</v>
      </c>
    </row>
    <row r="65" customFormat="false" ht="15" hidden="false" customHeight="false" outlineLevel="0" collapsed="false">
      <c r="K65" s="7" t="s">
        <v>157</v>
      </c>
    </row>
    <row r="66" customFormat="false" ht="15" hidden="false" customHeight="false" outlineLevel="0" collapsed="false">
      <c r="K66" s="7" t="s">
        <v>158</v>
      </c>
    </row>
    <row r="67" customFormat="false" ht="15" hidden="false" customHeight="false" outlineLevel="0" collapsed="false">
      <c r="K67" s="7" t="s">
        <v>159</v>
      </c>
    </row>
    <row r="68" customFormat="false" ht="15" hidden="false" customHeight="false" outlineLevel="0" collapsed="false">
      <c r="K68" s="7" t="s">
        <v>160</v>
      </c>
    </row>
    <row r="69" customFormat="false" ht="15" hidden="false" customHeight="false" outlineLevel="0" collapsed="false">
      <c r="K69" s="7" t="s">
        <v>161</v>
      </c>
    </row>
    <row r="70" customFormat="false" ht="15" hidden="false" customHeight="false" outlineLevel="0" collapsed="false">
      <c r="K70" s="7" t="s">
        <v>162</v>
      </c>
    </row>
    <row r="71" customFormat="false" ht="15" hidden="false" customHeight="false" outlineLevel="0" collapsed="false">
      <c r="K71" s="7" t="s">
        <v>163</v>
      </c>
    </row>
    <row r="72" customFormat="false" ht="15" hidden="false" customHeight="false" outlineLevel="0" collapsed="false">
      <c r="K72" s="7" t="s">
        <v>164</v>
      </c>
    </row>
    <row r="73" customFormat="false" ht="15" hidden="false" customHeight="false" outlineLevel="0" collapsed="false">
      <c r="K73" s="7" t="s">
        <v>165</v>
      </c>
    </row>
    <row r="74" customFormat="false" ht="15" hidden="false" customHeight="false" outlineLevel="0" collapsed="false">
      <c r="K74" s="7" t="s">
        <v>166</v>
      </c>
    </row>
    <row r="75" customFormat="false" ht="15" hidden="false" customHeight="false" outlineLevel="0" collapsed="false">
      <c r="K75" s="7" t="s">
        <v>167</v>
      </c>
    </row>
    <row r="76" customFormat="false" ht="15" hidden="false" customHeight="false" outlineLevel="0" collapsed="false">
      <c r="K76" s="7" t="s">
        <v>168</v>
      </c>
    </row>
    <row r="77" customFormat="false" ht="15" hidden="false" customHeight="false" outlineLevel="0" collapsed="false">
      <c r="K77" s="7" t="s">
        <v>169</v>
      </c>
    </row>
    <row r="78" customFormat="false" ht="15" hidden="false" customHeight="false" outlineLevel="0" collapsed="false">
      <c r="K78" s="7" t="s">
        <v>170</v>
      </c>
    </row>
    <row r="79" customFormat="false" ht="15" hidden="false" customHeight="false" outlineLevel="0" collapsed="false">
      <c r="K79" s="7" t="s">
        <v>171</v>
      </c>
    </row>
    <row r="80" customFormat="false" ht="15" hidden="false" customHeight="false" outlineLevel="0" collapsed="false">
      <c r="K80" s="7" t="s">
        <v>172</v>
      </c>
    </row>
    <row r="81" customFormat="false" ht="15" hidden="false" customHeight="false" outlineLevel="0" collapsed="false">
      <c r="K81" s="7" t="s">
        <v>173</v>
      </c>
    </row>
    <row r="82" customFormat="false" ht="15" hidden="false" customHeight="false" outlineLevel="0" collapsed="false">
      <c r="K82" s="7" t="s">
        <v>174</v>
      </c>
    </row>
    <row r="83" customFormat="false" ht="15" hidden="false" customHeight="false" outlineLevel="0" collapsed="false">
      <c r="K83" s="7" t="s">
        <v>175</v>
      </c>
    </row>
    <row r="84" customFormat="false" ht="15" hidden="false" customHeight="false" outlineLevel="0" collapsed="false">
      <c r="K84" s="7" t="s">
        <v>176</v>
      </c>
    </row>
    <row r="85" customFormat="false" ht="15" hidden="false" customHeight="false" outlineLevel="0" collapsed="false">
      <c r="K85" s="7" t="s">
        <v>177</v>
      </c>
    </row>
    <row r="86" customFormat="false" ht="15" hidden="false" customHeight="false" outlineLevel="0" collapsed="false">
      <c r="K86" s="7" t="s">
        <v>178</v>
      </c>
    </row>
    <row r="87" customFormat="false" ht="15" hidden="false" customHeight="false" outlineLevel="0" collapsed="false">
      <c r="K87" s="7" t="s">
        <v>179</v>
      </c>
    </row>
    <row r="88" customFormat="false" ht="15" hidden="false" customHeight="false" outlineLevel="0" collapsed="false">
      <c r="K88" s="7" t="s">
        <v>180</v>
      </c>
    </row>
    <row r="89" customFormat="false" ht="15" hidden="false" customHeight="false" outlineLevel="0" collapsed="false">
      <c r="K89" s="7" t="s">
        <v>181</v>
      </c>
    </row>
    <row r="90" customFormat="false" ht="15" hidden="false" customHeight="false" outlineLevel="0" collapsed="false">
      <c r="K90" s="7" t="s">
        <v>182</v>
      </c>
    </row>
    <row r="91" customFormat="false" ht="15" hidden="false" customHeight="false" outlineLevel="0" collapsed="false">
      <c r="K91" s="7" t="s">
        <v>183</v>
      </c>
    </row>
    <row r="92" customFormat="false" ht="15" hidden="false" customHeight="false" outlineLevel="0" collapsed="false">
      <c r="K92" s="7" t="s">
        <v>184</v>
      </c>
    </row>
    <row r="93" customFormat="false" ht="15" hidden="false" customHeight="false" outlineLevel="0" collapsed="false">
      <c r="K93" s="7" t="s">
        <v>185</v>
      </c>
    </row>
    <row r="94" customFormat="false" ht="15" hidden="false" customHeight="false" outlineLevel="0" collapsed="false">
      <c r="K94" s="7" t="s">
        <v>186</v>
      </c>
    </row>
    <row r="95" customFormat="false" ht="15" hidden="false" customHeight="false" outlineLevel="0" collapsed="false">
      <c r="K95" s="7" t="s">
        <v>187</v>
      </c>
    </row>
    <row r="96" customFormat="false" ht="15" hidden="false" customHeight="false" outlineLevel="0" collapsed="false">
      <c r="K96" s="7" t="s">
        <v>188</v>
      </c>
    </row>
    <row r="97" customFormat="false" ht="15" hidden="false" customHeight="false" outlineLevel="0" collapsed="false">
      <c r="K97" s="7" t="s">
        <v>189</v>
      </c>
    </row>
    <row r="98" customFormat="false" ht="15" hidden="false" customHeight="false" outlineLevel="0" collapsed="false">
      <c r="K98" s="7" t="s">
        <v>190</v>
      </c>
    </row>
    <row r="99" customFormat="false" ht="15" hidden="false" customHeight="false" outlineLevel="0" collapsed="false">
      <c r="K99" s="7" t="s">
        <v>191</v>
      </c>
    </row>
    <row r="100" customFormat="false" ht="15" hidden="false" customHeight="false" outlineLevel="0" collapsed="false">
      <c r="K100" s="7" t="s">
        <v>192</v>
      </c>
    </row>
    <row r="101" customFormat="false" ht="15" hidden="false" customHeight="false" outlineLevel="0" collapsed="false">
      <c r="K101" s="7" t="s">
        <v>193</v>
      </c>
    </row>
    <row r="102" customFormat="false" ht="15" hidden="false" customHeight="false" outlineLevel="0" collapsed="false">
      <c r="K102" s="7" t="s">
        <v>194</v>
      </c>
    </row>
    <row r="103" customFormat="false" ht="15" hidden="false" customHeight="false" outlineLevel="0" collapsed="false">
      <c r="K103" s="7" t="s">
        <v>195</v>
      </c>
    </row>
    <row r="104" customFormat="false" ht="15" hidden="false" customHeight="false" outlineLevel="0" collapsed="false">
      <c r="K104" s="7" t="s">
        <v>196</v>
      </c>
    </row>
    <row r="105" customFormat="false" ht="15" hidden="false" customHeight="false" outlineLevel="0" collapsed="false">
      <c r="K105" s="7" t="s">
        <v>197</v>
      </c>
    </row>
    <row r="106" customFormat="false" ht="15" hidden="false" customHeight="false" outlineLevel="0" collapsed="false">
      <c r="K106" s="7" t="s">
        <v>198</v>
      </c>
    </row>
    <row r="107" customFormat="false" ht="15" hidden="false" customHeight="false" outlineLevel="0" collapsed="false">
      <c r="K107" s="7" t="s">
        <v>199</v>
      </c>
    </row>
    <row r="108" customFormat="false" ht="15" hidden="false" customHeight="false" outlineLevel="0" collapsed="false">
      <c r="K108" s="7" t="s">
        <v>200</v>
      </c>
    </row>
    <row r="109" customFormat="false" ht="15" hidden="false" customHeight="false" outlineLevel="0" collapsed="false">
      <c r="K109" s="7" t="s">
        <v>201</v>
      </c>
    </row>
    <row r="110" customFormat="false" ht="15" hidden="false" customHeight="false" outlineLevel="0" collapsed="false">
      <c r="K110" s="7" t="s">
        <v>202</v>
      </c>
    </row>
    <row r="111" customFormat="false" ht="15" hidden="false" customHeight="false" outlineLevel="0" collapsed="false">
      <c r="K111" s="7" t="s">
        <v>203</v>
      </c>
    </row>
    <row r="112" customFormat="false" ht="15" hidden="false" customHeight="false" outlineLevel="0" collapsed="false">
      <c r="K112" s="7" t="s">
        <v>204</v>
      </c>
    </row>
    <row r="113" customFormat="false" ht="15" hidden="false" customHeight="false" outlineLevel="0" collapsed="false">
      <c r="K113" s="7" t="s">
        <v>205</v>
      </c>
    </row>
    <row r="114" customFormat="false" ht="15" hidden="false" customHeight="false" outlineLevel="0" collapsed="false">
      <c r="K114" s="7" t="s">
        <v>206</v>
      </c>
    </row>
    <row r="115" customFormat="false" ht="15" hidden="false" customHeight="false" outlineLevel="0" collapsed="false">
      <c r="K115" s="7" t="s">
        <v>207</v>
      </c>
    </row>
    <row r="116" customFormat="false" ht="15" hidden="false" customHeight="false" outlineLevel="0" collapsed="false">
      <c r="K116" s="7" t="s">
        <v>208</v>
      </c>
    </row>
    <row r="117" customFormat="false" ht="15" hidden="false" customHeight="false" outlineLevel="0" collapsed="false">
      <c r="K117" s="7" t="s">
        <v>209</v>
      </c>
    </row>
    <row r="118" customFormat="false" ht="15" hidden="false" customHeight="false" outlineLevel="0" collapsed="false">
      <c r="K118" s="7" t="s">
        <v>210</v>
      </c>
    </row>
    <row r="119" customFormat="false" ht="15" hidden="false" customHeight="false" outlineLevel="0" collapsed="false">
      <c r="K119" s="7" t="s">
        <v>211</v>
      </c>
    </row>
    <row r="120" customFormat="false" ht="15" hidden="false" customHeight="false" outlineLevel="0" collapsed="false">
      <c r="K120" s="7" t="s">
        <v>212</v>
      </c>
    </row>
    <row r="121" customFormat="false" ht="15" hidden="false" customHeight="false" outlineLevel="0" collapsed="false">
      <c r="K121" s="7" t="s">
        <v>213</v>
      </c>
    </row>
    <row r="122" customFormat="false" ht="15" hidden="false" customHeight="false" outlineLevel="0" collapsed="false">
      <c r="K122" s="7" t="s">
        <v>214</v>
      </c>
    </row>
    <row r="123" customFormat="false" ht="15" hidden="false" customHeight="false" outlineLevel="0" collapsed="false">
      <c r="K123" s="7" t="s">
        <v>215</v>
      </c>
    </row>
    <row r="124" customFormat="false" ht="15" hidden="false" customHeight="false" outlineLevel="0" collapsed="false">
      <c r="K124" s="7" t="s">
        <v>216</v>
      </c>
    </row>
    <row r="125" customFormat="false" ht="15" hidden="false" customHeight="false" outlineLevel="0" collapsed="false">
      <c r="K125" s="7" t="s">
        <v>217</v>
      </c>
    </row>
    <row r="126" customFormat="false" ht="15" hidden="false" customHeight="false" outlineLevel="0" collapsed="false">
      <c r="K126" s="7" t="s">
        <v>218</v>
      </c>
    </row>
    <row r="127" customFormat="false" ht="15" hidden="false" customHeight="false" outlineLevel="0" collapsed="false">
      <c r="K127" s="7" t="s">
        <v>219</v>
      </c>
    </row>
    <row r="128" customFormat="false" ht="15" hidden="false" customHeight="false" outlineLevel="0" collapsed="false">
      <c r="K128" s="7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2026-10-10T01:14:39Z</dcterms:created>
  <dc:creator>openpyxl</dc:creator>
  <dc:description/>
  <dc:language>en-US</dc:language>
  <cp:lastModifiedBy/>
  <dcterms:modified xsi:type="dcterms:W3CDTF">2026-10-10T01:14:39Z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